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82" codeName="{3D1A710C-6663-3D7B-7F91-EC182F24A4BC}"/>
  <workbookPr codeName="DieseArbeitsmappe"/>
  <mc:AlternateContent xmlns:mc="http://schemas.openxmlformats.org/markup-compatibility/2006">
    <mc:Choice Requires="x15">
      <x15ac:absPath xmlns:x15ac="http://schemas.microsoft.com/office/spreadsheetml/2010/11/ac" url="C:\Users\Ullyses\Downloads\Telegram Desktop\"/>
    </mc:Choice>
  </mc:AlternateContent>
  <xr:revisionPtr revIDLastSave="0" documentId="13_ncr:1_{C8C270F3-CDFC-4622-9293-0CC3815B0854}" xr6:coauthVersionLast="36" xr6:coauthVersionMax="36" xr10:uidLastSave="{00000000-0000-0000-0000-000000000000}"/>
  <bookViews>
    <workbookView xWindow="0" yWindow="0" windowWidth="21570" windowHeight="7980" tabRatio="699" xr2:uid="{00000000-000D-0000-FFFF-FFFF00000000}"/>
  </bookViews>
  <sheets>
    <sheet name="Gesamttabelle" sheetId="1" r:id="rId1"/>
    <sheet name="Betriebskonfiguration" sheetId="2" r:id="rId2"/>
    <sheet name="Ackerbau" sheetId="3" r:id="rId3"/>
    <sheet name="Kompostierung" sheetId="5" r:id="rId4"/>
  </sheets>
  <functionGroups builtInGroupCount="19"/>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0" i="3" l="1"/>
  <c r="C8" i="5"/>
  <c r="C6" i="5"/>
  <c r="C9" i="5"/>
  <c r="C7" i="5"/>
  <c r="C5" i="5"/>
  <c r="I20" i="3"/>
  <c r="I19" i="3"/>
  <c r="I18" i="3"/>
  <c r="I17" i="3"/>
  <c r="D20" i="3"/>
  <c r="D19" i="3"/>
  <c r="D18" i="3"/>
  <c r="D17" i="3"/>
  <c r="C20" i="3"/>
  <c r="C18" i="3"/>
  <c r="C19" i="3"/>
  <c r="C17" i="3"/>
  <c r="E14" i="3" l="1"/>
  <c r="D10" i="3"/>
  <c r="C10" i="3"/>
  <c r="G10" i="3"/>
  <c r="I10" i="3"/>
  <c r="I1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N.N.</author>
    <author>Windows User</author>
  </authors>
  <commentList>
    <comment ref="E2" authorId="0" shapeId="0" xr:uid="{00000000-0006-0000-0100-000001000000}">
      <text>
        <r>
          <rPr>
            <b/>
            <sz val="9"/>
            <color indexed="81"/>
            <rFont val="Segoe UI"/>
            <family val="2"/>
          </rPr>
          <t>zusammengehörige gleich benennen, also z.B. wenn die Hälfte der Fläche einer Öl-Fruchtfolge mit Hanf und die andere mit Lein sein soll, dann zwei Spalten mit beispielsweise "Öl" als Überschrift</t>
        </r>
      </text>
    </comment>
    <comment ref="I2" authorId="0" shapeId="0" xr:uid="{00000000-0006-0000-0100-000002000000}">
      <text>
        <r>
          <rPr>
            <b/>
            <sz val="9"/>
            <color indexed="81"/>
            <rFont val="Segoe UI"/>
            <family val="2"/>
          </rPr>
          <t>es wird damit gerechnet, dass der gesamte Kompost eines Jahres auch in einem Jahr verbraucht wird</t>
        </r>
      </text>
    </comment>
    <comment ref="B3" authorId="1" shapeId="0" xr:uid="{388D3091-F088-45F5-87DC-821F0FA160A1}">
      <text>
        <r>
          <rPr>
            <b/>
            <sz val="9"/>
            <color indexed="81"/>
            <rFont val="Segoe UI"/>
            <family val="2"/>
          </rPr>
          <t>die gesamte Ackerfläche</t>
        </r>
      </text>
    </comment>
    <comment ref="G3" authorId="1" shapeId="0" xr:uid="{305F3AF7-9901-4416-98BE-47E6B17E3E24}">
      <text>
        <r>
          <rPr>
            <b/>
            <sz val="9"/>
            <color indexed="81"/>
            <rFont val="Segoe UI"/>
            <family val="2"/>
          </rPr>
          <t>zur Demonstration</t>
        </r>
      </text>
    </comment>
    <comment ref="B4" authorId="0" shapeId="0" xr:uid="{00000000-0006-0000-0100-000003000000}">
      <text>
        <r>
          <rPr>
            <b/>
            <sz val="9"/>
            <color indexed="81"/>
            <rFont val="Segoe UI"/>
            <family val="2"/>
          </rPr>
          <t>die Bezeichnung der in der Berechnung genutzten Fruchtfolge, z.B. "Öl"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N.N.</author>
  </authors>
  <commentList>
    <comment ref="V2" authorId="0" shapeId="0" xr:uid="{4B35A9AF-A842-485D-A38F-69141AC43BC7}">
      <text>
        <r>
          <rPr>
            <b/>
            <sz val="9"/>
            <color indexed="81"/>
            <rFont val="Segoe UI"/>
            <family val="2"/>
          </rPr>
          <t>Alles, was mit "Kompost" beginnt wird als solcher interpretiert, also z.B. auch "Kompost 1" oder "Kompost 2"</t>
        </r>
      </text>
    </comment>
    <comment ref="B3" authorId="1" shapeId="0" xr:uid="{00000000-0006-0000-0200-000001000000}">
      <text>
        <r>
          <rPr>
            <b/>
            <sz val="9"/>
            <color indexed="81"/>
            <rFont val="Segoe UI"/>
            <family val="2"/>
          </rPr>
          <t>Möglichkeiten (Komma separiert):
Jan 1, Jan 2,
Feb 1, Feb 2,
Mar 1, Mar 2,
Apr 1, Apr 2,
Jun 1, Jun 2,
Jul 1, Jul 2,
Aug 1, Aug 2,
Sep 1, Sep 2,
Okt 1, Okt 2,
Nov 1, Nov 2,
Dez 1, Dez 2</t>
        </r>
      </text>
    </comment>
    <comment ref="S3" authorId="0" shapeId="0" xr:uid="{B1A6F263-FE75-48EC-94C7-5028F827F79B}">
      <text>
        <r>
          <rPr>
            <b/>
            <sz val="9"/>
            <color indexed="81"/>
            <rFont val="Segoe UI"/>
            <family val="2"/>
          </rPr>
          <t>optional zur Übersicht, wenn gewünscht</t>
        </r>
      </text>
    </comment>
    <comment ref="B4" authorId="1" shapeId="0" xr:uid="{00000000-0006-0000-0200-000003000000}">
      <text>
        <r>
          <rPr>
            <b/>
            <sz val="9"/>
            <color indexed="81"/>
            <rFont val="Segoe UI"/>
            <family val="2"/>
          </rPr>
          <t>Möglichkeiten (Komma separiert):
Jan 1, Jan 2,
Feb 1, Feb 2,
Mar 1, Mar 2,
Apr 1, Apr 2,
Jun 1, Jun 2,
Jul 1, Jul 2,
Aug 1, Aug 2,
Sep 1, Sep 2,
Okt 1, Okt 2,
Nov 1, Nov 2,
Dez 1, Dez 2</t>
        </r>
      </text>
    </comment>
    <comment ref="V4" authorId="0" shapeId="0" xr:uid="{4989B4E6-C8F6-4C10-AF6E-B70AC76603C8}">
      <text>
        <r>
          <rPr>
            <b/>
            <sz val="9"/>
            <color indexed="81"/>
            <rFont val="Segoe UI"/>
            <family val="2"/>
          </rPr>
          <t>der Aufwand von Kompost wird automatisch berechnet</t>
        </r>
      </text>
    </comment>
    <comment ref="T9" authorId="1" shapeId="0" xr:uid="{00000000-0006-0000-0200-000007000000}">
      <text>
        <r>
          <rPr>
            <b/>
            <sz val="9"/>
            <color indexed="81"/>
            <rFont val="Segoe UI"/>
            <family val="2"/>
          </rPr>
          <t>geschätzt nach Obergrenze</t>
        </r>
      </text>
    </comment>
    <comment ref="U9" authorId="1" shapeId="0" xr:uid="{00000000-0006-0000-0200-000008000000}">
      <text>
        <r>
          <rPr>
            <b/>
            <sz val="9"/>
            <color indexed="81"/>
            <rFont val="Segoe UI"/>
            <family val="2"/>
          </rPr>
          <t>geschätzt nach Obergrenze</t>
        </r>
      </text>
    </comment>
    <comment ref="D10" authorId="1" shapeId="0" xr:uid="{00000000-0006-0000-0200-000009000000}">
      <text>
        <r>
          <rPr>
            <b/>
            <sz val="9"/>
            <color indexed="81"/>
            <rFont val="Segoe UI"/>
            <family val="2"/>
          </rPr>
          <t>"höher" ~ 1,15 mal?</t>
        </r>
      </text>
    </comment>
    <comment ref="O10" authorId="1" shapeId="0" xr:uid="{00000000-0006-0000-0200-00000A000000}">
      <text>
        <r>
          <rPr>
            <b/>
            <sz val="9"/>
            <color indexed="81"/>
            <rFont val="Segoe UI"/>
            <charset val="1"/>
          </rPr>
          <t>geschätzt</t>
        </r>
      </text>
    </comment>
    <comment ref="V10" authorId="0" shapeId="0" xr:uid="{E5408C0A-E254-4F75-B442-D741704C1DD8}">
      <text>
        <r>
          <rPr>
            <b/>
            <sz val="9"/>
            <color indexed="81"/>
            <rFont val="Segoe UI"/>
            <family val="2"/>
          </rPr>
          <t>wird automatisch berechnet</t>
        </r>
      </text>
    </comment>
    <comment ref="V11" authorId="0" shapeId="0" xr:uid="{751D54CB-34FB-4214-B326-43974803B91E}">
      <text>
        <r>
          <rPr>
            <b/>
            <sz val="9"/>
            <color indexed="81"/>
            <rFont val="Segoe UI"/>
            <family val="2"/>
          </rPr>
          <t>wird automatisch berechnet</t>
        </r>
      </text>
    </comment>
    <comment ref="L12" authorId="1" shapeId="0" xr:uid="{00000000-0006-0000-0200-00000F000000}">
      <text>
        <r>
          <rPr>
            <b/>
            <sz val="9"/>
            <color indexed="81"/>
            <rFont val="Segoe UI"/>
            <family val="2"/>
          </rPr>
          <t>Tabelle 41</t>
        </r>
      </text>
    </comment>
    <comment ref="M12" authorId="1" shapeId="0" xr:uid="{00000000-0006-0000-0200-000010000000}">
      <text>
        <r>
          <rPr>
            <b/>
            <sz val="9"/>
            <color indexed="81"/>
            <rFont val="Segoe UI"/>
            <family val="2"/>
          </rPr>
          <t>Tabelle 41</t>
        </r>
      </text>
    </comment>
    <comment ref="N12" authorId="1" shapeId="0" xr:uid="{00000000-0006-0000-0200-000011000000}">
      <text>
        <r>
          <rPr>
            <b/>
            <sz val="9"/>
            <color indexed="81"/>
            <rFont val="Segoe UI"/>
            <family val="2"/>
          </rPr>
          <t>Tabelle 41</t>
        </r>
      </text>
    </comment>
    <comment ref="V12" authorId="0" shapeId="0" xr:uid="{501DE22C-411B-446E-B88A-49FF3009AF54}">
      <text>
        <r>
          <rPr>
            <b/>
            <sz val="9"/>
            <color indexed="81"/>
            <rFont val="Segoe UI"/>
            <family val="2"/>
          </rPr>
          <t>wird automatisch berechnet</t>
        </r>
      </text>
    </comment>
    <comment ref="L13" authorId="1" shapeId="0" xr:uid="{00000000-0006-0000-0200-000014000000}">
      <text>
        <r>
          <rPr>
            <b/>
            <sz val="9"/>
            <color indexed="81"/>
            <rFont val="Segoe UI"/>
            <family val="2"/>
          </rPr>
          <t>Tabelle 41</t>
        </r>
      </text>
    </comment>
    <comment ref="M13" authorId="1" shapeId="0" xr:uid="{00000000-0006-0000-0200-000015000000}">
      <text>
        <r>
          <rPr>
            <b/>
            <sz val="9"/>
            <color indexed="81"/>
            <rFont val="Segoe UI"/>
            <family val="2"/>
          </rPr>
          <t>Tabelle 41</t>
        </r>
      </text>
    </comment>
    <comment ref="N13" authorId="1" shapeId="0" xr:uid="{00000000-0006-0000-0200-000016000000}">
      <text>
        <r>
          <rPr>
            <b/>
            <sz val="9"/>
            <color indexed="81"/>
            <rFont val="Segoe UI"/>
            <family val="2"/>
          </rPr>
          <t>Tabelle 41</t>
        </r>
      </text>
    </comment>
    <comment ref="V13" authorId="0" shapeId="0" xr:uid="{3CC0D7F5-B154-4089-9126-13D369AAA68F}">
      <text>
        <r>
          <rPr>
            <b/>
            <sz val="9"/>
            <color indexed="81"/>
            <rFont val="Segoe UI"/>
            <family val="2"/>
          </rPr>
          <t>wird automatisch berechnet</t>
        </r>
      </text>
    </comment>
    <comment ref="L14" authorId="1" shapeId="0" xr:uid="{00000000-0006-0000-0200-000019000000}">
      <text>
        <r>
          <rPr>
            <b/>
            <sz val="9"/>
            <color indexed="81"/>
            <rFont val="Segoe UI"/>
            <family val="2"/>
          </rPr>
          <t>Tabelle 41</t>
        </r>
      </text>
    </comment>
    <comment ref="M14" authorId="1" shapeId="0" xr:uid="{00000000-0006-0000-0200-00001A000000}">
      <text>
        <r>
          <rPr>
            <b/>
            <sz val="9"/>
            <color indexed="81"/>
            <rFont val="Segoe UI"/>
            <family val="2"/>
          </rPr>
          <t>Tabelle 41</t>
        </r>
      </text>
    </comment>
    <comment ref="N14" authorId="1" shapeId="0" xr:uid="{00000000-0006-0000-0200-00001B000000}">
      <text>
        <r>
          <rPr>
            <b/>
            <sz val="9"/>
            <color indexed="81"/>
            <rFont val="Segoe UI"/>
            <family val="2"/>
          </rPr>
          <t>Tabelle 41</t>
        </r>
      </text>
    </comment>
    <comment ref="V14" authorId="0" shapeId="0" xr:uid="{40ED4AD8-71AD-4795-ACEA-F0DDAB6A7299}">
      <text>
        <r>
          <rPr>
            <b/>
            <sz val="9"/>
            <color indexed="81"/>
            <rFont val="Segoe UI"/>
            <family val="2"/>
          </rPr>
          <t>wird automatisch berechnet</t>
        </r>
      </text>
    </comment>
    <comment ref="V15" authorId="0" shapeId="0" xr:uid="{D1512CC3-B2F6-46F7-A93C-DF41983D832B}">
      <text>
        <r>
          <rPr>
            <b/>
            <sz val="9"/>
            <color indexed="81"/>
            <rFont val="Segoe UI"/>
            <family val="2"/>
          </rPr>
          <t>wird automatisch berechnet</t>
        </r>
      </text>
    </comment>
    <comment ref="L16" authorId="1" shapeId="0" xr:uid="{00000000-0006-0000-0200-000020000000}">
      <text>
        <r>
          <rPr>
            <b/>
            <sz val="9"/>
            <color indexed="81"/>
            <rFont val="Segoe UI"/>
            <family val="2"/>
          </rPr>
          <t>Tabelle 41</t>
        </r>
      </text>
    </comment>
    <comment ref="M16" authorId="1" shapeId="0" xr:uid="{00000000-0006-0000-0200-000021000000}">
      <text>
        <r>
          <rPr>
            <b/>
            <sz val="9"/>
            <color indexed="81"/>
            <rFont val="Segoe UI"/>
            <family val="2"/>
          </rPr>
          <t>Tabelle 41</t>
        </r>
      </text>
    </comment>
    <comment ref="N16" authorId="1" shapeId="0" xr:uid="{00000000-0006-0000-0200-000022000000}">
      <text>
        <r>
          <rPr>
            <b/>
            <sz val="9"/>
            <color indexed="81"/>
            <rFont val="Segoe UI"/>
            <family val="2"/>
          </rPr>
          <t>Tabelle 41</t>
        </r>
      </text>
    </comment>
    <comment ref="V16" authorId="0" shapeId="0" xr:uid="{3AE6DA7F-8482-4CDF-9B58-84906858E95A}">
      <text>
        <r>
          <rPr>
            <b/>
            <sz val="9"/>
            <color indexed="81"/>
            <rFont val="Segoe UI"/>
            <family val="2"/>
          </rPr>
          <t>wird automatisch berechnet</t>
        </r>
      </text>
    </comment>
    <comment ref="C17" authorId="1" shapeId="0" xr:uid="{00000000-0006-0000-0200-000025000000}">
      <text>
        <r>
          <rPr>
            <b/>
            <sz val="9"/>
            <color indexed="81"/>
            <rFont val="Segoe UI"/>
            <family val="2"/>
          </rPr>
          <t>2.7 Spurennährstoffe</t>
        </r>
      </text>
    </comment>
    <comment ref="D17" authorId="1" shapeId="0" xr:uid="{00000000-0006-0000-0200-000026000000}">
      <text>
        <r>
          <rPr>
            <b/>
            <sz val="9"/>
            <color indexed="81"/>
            <rFont val="Segoe UI"/>
            <family val="2"/>
          </rPr>
          <t>2.7 Spurennährstoffe</t>
        </r>
      </text>
    </comment>
    <comment ref="I17" authorId="1" shapeId="0" xr:uid="{00000000-0006-0000-0200-000027000000}">
      <text>
        <r>
          <rPr>
            <b/>
            <sz val="9"/>
            <color indexed="81"/>
            <rFont val="Segoe UI"/>
            <family val="2"/>
          </rPr>
          <t>2.7 Spurennährstoffe</t>
        </r>
      </text>
    </comment>
    <comment ref="V17" authorId="0" shapeId="0" xr:uid="{72BDD7FE-0793-4264-A406-17F3C5385BD6}">
      <text>
        <r>
          <rPr>
            <b/>
            <sz val="9"/>
            <color indexed="81"/>
            <rFont val="Segoe UI"/>
            <family val="2"/>
          </rPr>
          <t>wird automatisch berechnet</t>
        </r>
      </text>
    </comment>
    <comment ref="C18" authorId="1" shapeId="0" xr:uid="{00000000-0006-0000-0200-00002A000000}">
      <text>
        <r>
          <rPr>
            <b/>
            <sz val="9"/>
            <color indexed="81"/>
            <rFont val="Segoe UI"/>
            <family val="2"/>
          </rPr>
          <t>2.7 Spurennährstoffe</t>
        </r>
      </text>
    </comment>
    <comment ref="D18" authorId="1" shapeId="0" xr:uid="{00000000-0006-0000-0200-00002B000000}">
      <text>
        <r>
          <rPr>
            <b/>
            <sz val="9"/>
            <color indexed="81"/>
            <rFont val="Segoe UI"/>
            <family val="2"/>
          </rPr>
          <t>2.7 Spurennährstoffe</t>
        </r>
      </text>
    </comment>
    <comment ref="I18" authorId="1" shapeId="0" xr:uid="{00000000-0006-0000-0200-00002C000000}">
      <text>
        <r>
          <rPr>
            <b/>
            <sz val="9"/>
            <color indexed="81"/>
            <rFont val="Segoe UI"/>
            <family val="2"/>
          </rPr>
          <t>2.7 Spurennährstoffe</t>
        </r>
      </text>
    </comment>
    <comment ref="V18" authorId="0" shapeId="0" xr:uid="{666C1385-649A-4E20-937A-4C79AAF5947A}">
      <text>
        <r>
          <rPr>
            <b/>
            <sz val="9"/>
            <color indexed="81"/>
            <rFont val="Segoe UI"/>
            <family val="2"/>
          </rPr>
          <t>wird automatisch berechnet</t>
        </r>
      </text>
    </comment>
    <comment ref="C19" authorId="1" shapeId="0" xr:uid="{00000000-0006-0000-0200-00002F000000}">
      <text>
        <r>
          <rPr>
            <b/>
            <sz val="9"/>
            <color indexed="81"/>
            <rFont val="Segoe UI"/>
            <family val="2"/>
          </rPr>
          <t>2.7 Spurennährstoffe</t>
        </r>
      </text>
    </comment>
    <comment ref="D19" authorId="1" shapeId="0" xr:uid="{00000000-0006-0000-0200-000030000000}">
      <text>
        <r>
          <rPr>
            <b/>
            <sz val="9"/>
            <color indexed="81"/>
            <rFont val="Segoe UI"/>
            <family val="2"/>
          </rPr>
          <t>2.7 Spurennährstoffe</t>
        </r>
      </text>
    </comment>
    <comment ref="I19" authorId="1" shapeId="0" xr:uid="{00000000-0006-0000-0200-000031000000}">
      <text>
        <r>
          <rPr>
            <b/>
            <sz val="9"/>
            <color indexed="81"/>
            <rFont val="Segoe UI"/>
            <family val="2"/>
          </rPr>
          <t>2.7 Spurennährstoffe</t>
        </r>
      </text>
    </comment>
    <comment ref="V19" authorId="0" shapeId="0" xr:uid="{E617C9A8-DABA-4DBB-BC21-D15C624FE33E}">
      <text>
        <r>
          <rPr>
            <b/>
            <sz val="9"/>
            <color indexed="81"/>
            <rFont val="Segoe UI"/>
            <family val="2"/>
          </rPr>
          <t>wird automatisch berechnet</t>
        </r>
      </text>
    </comment>
    <comment ref="C20" authorId="1" shapeId="0" xr:uid="{00000000-0006-0000-0200-000034000000}">
      <text>
        <r>
          <rPr>
            <b/>
            <sz val="9"/>
            <color indexed="81"/>
            <rFont val="Segoe UI"/>
            <family val="2"/>
          </rPr>
          <t>2.7 Spurennährstoffe</t>
        </r>
      </text>
    </comment>
    <comment ref="D20" authorId="1" shapeId="0" xr:uid="{00000000-0006-0000-0200-000035000000}">
      <text>
        <r>
          <rPr>
            <b/>
            <sz val="9"/>
            <color indexed="81"/>
            <rFont val="Segoe UI"/>
            <family val="2"/>
          </rPr>
          <t>2.7 Spurennährstoffe</t>
        </r>
      </text>
    </comment>
    <comment ref="I20" authorId="1" shapeId="0" xr:uid="{00000000-0006-0000-0200-000036000000}">
      <text>
        <r>
          <rPr>
            <b/>
            <sz val="9"/>
            <color indexed="81"/>
            <rFont val="Segoe UI"/>
            <family val="2"/>
          </rPr>
          <t>2.7 Spurennährstoffe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N.N.</author>
  </authors>
  <commentList>
    <comment ref="D4" authorId="0" shapeId="0" xr:uid="{00000000-0006-0000-0300-000001000000}">
      <text>
        <r>
          <rPr>
            <b/>
            <sz val="9"/>
            <color indexed="81"/>
            <rFont val="Segoe UI"/>
            <family val="2"/>
          </rPr>
          <t>Anhang 5</t>
        </r>
      </text>
    </comment>
    <comment ref="C5" authorId="0" shapeId="0" xr:uid="{00000000-0006-0000-0300-000002000000}">
      <text>
        <r>
          <rPr>
            <b/>
            <sz val="9"/>
            <color indexed="81"/>
            <rFont val="Segoe UI"/>
            <family val="2"/>
          </rPr>
          <t>Tabelle 2.10
30% Wassergehalt ?
1 kg P -&gt; 2,29 kg P2O5</t>
        </r>
      </text>
    </comment>
    <comment ref="D5" authorId="0" shapeId="0" xr:uid="{00000000-0006-0000-0300-000003000000}">
      <text>
        <r>
          <rPr>
            <b/>
            <sz val="9"/>
            <color indexed="81"/>
            <rFont val="Segoe UI"/>
            <family val="2"/>
          </rPr>
          <t>Anhang 5</t>
        </r>
      </text>
    </comment>
    <comment ref="E5" authorId="0" shapeId="0" xr:uid="{00000000-0006-0000-0300-000004000000}">
      <text>
        <r>
          <rPr>
            <b/>
            <sz val="9"/>
            <color indexed="81"/>
            <rFont val="Segoe UI"/>
            <family val="2"/>
          </rPr>
          <t>Tabelle 41</t>
        </r>
      </text>
    </comment>
    <comment ref="C6" authorId="0" shapeId="0" xr:uid="{00000000-0006-0000-0300-000005000000}">
      <text>
        <r>
          <rPr>
            <b/>
            <sz val="9"/>
            <color indexed="81"/>
            <rFont val="Segoe UI"/>
            <family val="2"/>
          </rPr>
          <t>Tabelle 2.10
30% Wassergehalt ?
1 kg K -&gt; 1,205 kg K2O</t>
        </r>
      </text>
    </comment>
    <comment ref="D6" authorId="0" shapeId="0" xr:uid="{00000000-0006-0000-0300-000006000000}">
      <text>
        <r>
          <rPr>
            <b/>
            <sz val="9"/>
            <color indexed="81"/>
            <rFont val="Segoe UI"/>
            <family val="2"/>
          </rPr>
          <t>Anhang 5</t>
        </r>
      </text>
    </comment>
    <comment ref="E6" authorId="0" shapeId="0" xr:uid="{00000000-0006-0000-0300-000007000000}">
      <text>
        <r>
          <rPr>
            <b/>
            <sz val="9"/>
            <color indexed="81"/>
            <rFont val="Segoe UI"/>
            <family val="2"/>
          </rPr>
          <t>Tabelle 41</t>
        </r>
      </text>
    </comment>
    <comment ref="C7" authorId="0" shapeId="0" xr:uid="{00000000-0006-0000-0300-000008000000}">
      <text>
        <r>
          <rPr>
            <b/>
            <sz val="9"/>
            <color indexed="81"/>
            <rFont val="Segoe UI"/>
            <family val="2"/>
          </rPr>
          <t>Tabelle 2.10
30% Wassergehalt ?</t>
        </r>
      </text>
    </comment>
    <comment ref="E7" authorId="0" shapeId="0" xr:uid="{00000000-0006-0000-0300-000009000000}">
      <text>
        <r>
          <rPr>
            <b/>
            <sz val="9"/>
            <color indexed="81"/>
            <rFont val="Segoe UI"/>
            <family val="2"/>
          </rPr>
          <t>Tabelle 41</t>
        </r>
      </text>
    </comment>
    <comment ref="C8" authorId="0" shapeId="0" xr:uid="{00000000-0006-0000-0300-00000A000000}">
      <text>
        <r>
          <rPr>
            <b/>
            <sz val="9"/>
            <color indexed="81"/>
            <rFont val="Segoe UI"/>
            <family val="2"/>
          </rPr>
          <t>Tabelle 2.10
30% Wassergehalt ?</t>
        </r>
      </text>
    </comment>
    <comment ref="C9" authorId="0" shapeId="0" xr:uid="{00000000-0006-0000-0300-00000B000000}">
      <text>
        <r>
          <rPr>
            <b/>
            <sz val="9"/>
            <color indexed="81"/>
            <rFont val="Segoe UI"/>
            <family val="2"/>
          </rPr>
          <t>Tabelle 2.10
30% Wassergehalt ?</t>
        </r>
      </text>
    </comment>
    <comment ref="D9" authorId="0" shapeId="0" xr:uid="{00000000-0006-0000-0300-00000C000000}">
      <text>
        <r>
          <rPr>
            <b/>
            <sz val="9"/>
            <color indexed="81"/>
            <rFont val="Segoe UI"/>
            <family val="2"/>
          </rPr>
          <t>Anhang 5</t>
        </r>
      </text>
    </comment>
    <comment ref="E9" authorId="0" shapeId="0" xr:uid="{00000000-0006-0000-0300-00000D000000}">
      <text>
        <r>
          <rPr>
            <b/>
            <sz val="9"/>
            <color indexed="81"/>
            <rFont val="Segoe UI"/>
            <family val="2"/>
          </rPr>
          <t>Tabelle 41</t>
        </r>
      </text>
    </comment>
  </commentList>
</comments>
</file>

<file path=xl/sharedStrings.xml><?xml version="1.0" encoding="utf-8"?>
<sst xmlns="http://schemas.openxmlformats.org/spreadsheetml/2006/main" count="750" uniqueCount="317">
  <si>
    <t>Früchte</t>
  </si>
  <si>
    <t>Verkaufspreis [€/dt]</t>
  </si>
  <si>
    <t>Summe variable Kosten [€/ha]</t>
  </si>
  <si>
    <t>Ertrag [dt/ha]</t>
  </si>
  <si>
    <t>Sonstige Leistungen/Prämien [€/ha]</t>
  </si>
  <si>
    <t>Wasserbedarf [mm/m²]</t>
  </si>
  <si>
    <t>Stickstoffbilanz [kg/dt]</t>
  </si>
  <si>
    <t>Phosphorbilanz [kg/dt]</t>
  </si>
  <si>
    <t>Kaliumbilanz [kg/dt]</t>
  </si>
  <si>
    <t>Schwefelbilanz [kg/dt]</t>
  </si>
  <si>
    <t>Calciumbilanz [kg/dt]</t>
  </si>
  <si>
    <t>Magnesiumbilanz [kg/dt]</t>
  </si>
  <si>
    <t>Sonnenblume</t>
  </si>
  <si>
    <t>Aktualisieren</t>
  </si>
  <si>
    <t>FF Möglichkeiten</t>
  </si>
  <si>
    <t>Flächenanteil</t>
  </si>
  <si>
    <t>Öl</t>
  </si>
  <si>
    <t>Fruchtfolge</t>
  </si>
  <si>
    <t>Allgemeines</t>
  </si>
  <si>
    <t>Fläche [ha]</t>
  </si>
  <si>
    <t>Pflug</t>
  </si>
  <si>
    <t>Fruchtfolgedaten</t>
  </si>
  <si>
    <t>Startzeit</t>
  </si>
  <si>
    <t>Endzeit</t>
  </si>
  <si>
    <t>Feldarbeit</t>
  </si>
  <si>
    <t>Mar 1</t>
  </si>
  <si>
    <t>Sep 1</t>
  </si>
  <si>
    <t>Okt 2</t>
  </si>
  <si>
    <t>Aug 1</t>
  </si>
  <si>
    <t>S-Hafer</t>
  </si>
  <si>
    <t>W-Dinkel</t>
  </si>
  <si>
    <t>W-Ackerbohne</t>
  </si>
  <si>
    <t>Sep 2</t>
  </si>
  <si>
    <t>Aug 2</t>
  </si>
  <si>
    <t>Apr 2</t>
  </si>
  <si>
    <t>Okt 1</t>
  </si>
  <si>
    <t>Sojabohne</t>
  </si>
  <si>
    <t>Körnermais</t>
  </si>
  <si>
    <t>Grubber</t>
  </si>
  <si>
    <t>Frucht bzw. Feldarbeit</t>
  </si>
  <si>
    <t>50,58 ha</t>
  </si>
  <si>
    <t>Standzeit</t>
  </si>
  <si>
    <t>Brache danach</t>
  </si>
  <si>
    <t>Erträge und Leistungen</t>
  </si>
  <si>
    <t>Ertrag bzw. Aufwand</t>
  </si>
  <si>
    <t>Verkaufs- bzw. Einkaufspreis</t>
  </si>
  <si>
    <t>42</t>
  </si>
  <si>
    <t>35</t>
  </si>
  <si>
    <t>19,2</t>
  </si>
  <si>
    <t>40</t>
  </si>
  <si>
    <t>64,4</t>
  </si>
  <si>
    <t>28</t>
  </si>
  <si>
    <t>Mai 1</t>
  </si>
  <si>
    <t>46</t>
  </si>
  <si>
    <t>30</t>
  </si>
  <si>
    <t>51,8</t>
  </si>
  <si>
    <t>72</t>
  </si>
  <si>
    <t>37,22</t>
  </si>
  <si>
    <t>75</t>
  </si>
  <si>
    <t>0</t>
  </si>
  <si>
    <t>Aufwand [dt/ha]</t>
  </si>
  <si>
    <t>Einkaufspreis [€/dt]</t>
  </si>
  <si>
    <t>Deckungsbeitrag</t>
  </si>
  <si>
    <t>Summe variable Kosten</t>
  </si>
  <si>
    <t>814,1</t>
  </si>
  <si>
    <t>1026,4</t>
  </si>
  <si>
    <t>653,7</t>
  </si>
  <si>
    <t>1046</t>
  </si>
  <si>
    <t>1538,2</t>
  </si>
  <si>
    <t>1084,2</t>
  </si>
  <si>
    <t>Sonstige Leistungen/Prämien</t>
  </si>
  <si>
    <t>Deckungsbeitrag inkl. Leistungen</t>
  </si>
  <si>
    <t>Dauer</t>
  </si>
  <si>
    <t>Fläche</t>
  </si>
  <si>
    <t>Fruchtfolge Zeiten</t>
  </si>
  <si>
    <t>8,2</t>
  </si>
  <si>
    <t>9,1</t>
  </si>
  <si>
    <t>10,67</t>
  </si>
  <si>
    <t>10,8</t>
  </si>
  <si>
    <t>10,1</t>
  </si>
  <si>
    <t>Arbeit</t>
  </si>
  <si>
    <t>Arbeitszeit</t>
  </si>
  <si>
    <t>Arbeitszeit [Akh/ha]</t>
  </si>
  <si>
    <t>Stundenlohn</t>
  </si>
  <si>
    <t>Bilanz und Bedarf</t>
  </si>
  <si>
    <t>Wasserbedarf</t>
  </si>
  <si>
    <t>Stickstoff</t>
  </si>
  <si>
    <t>Phosphor</t>
  </si>
  <si>
    <t>Kalium</t>
  </si>
  <si>
    <t>Schwefel</t>
  </si>
  <si>
    <t>Calcium</t>
  </si>
  <si>
    <t>Magnesium</t>
  </si>
  <si>
    <t>Bor</t>
  </si>
  <si>
    <t>50</t>
  </si>
  <si>
    <t>3</t>
  </si>
  <si>
    <t>-1,51</t>
  </si>
  <si>
    <t>-1,65</t>
  </si>
  <si>
    <t>0,9</t>
  </si>
  <si>
    <t>-1,38</t>
  </si>
  <si>
    <t>-2,91</t>
  </si>
  <si>
    <t>-0,8</t>
  </si>
  <si>
    <t>-1,1</t>
  </si>
  <si>
    <t>-1,5</t>
  </si>
  <si>
    <t>-1,6</t>
  </si>
  <si>
    <t>-0,6</t>
  </si>
  <si>
    <t>-1,4</t>
  </si>
  <si>
    <t>-1,7</t>
  </si>
  <si>
    <t>-0,5</t>
  </si>
  <si>
    <t>-2,4</t>
  </si>
  <si>
    <t>Zusammensetzung</t>
  </si>
  <si>
    <t>Hackschnitzel</t>
  </si>
  <si>
    <t>Rindermist</t>
  </si>
  <si>
    <t>Kleegras</t>
  </si>
  <si>
    <t>Dichte [kg/mm³]</t>
  </si>
  <si>
    <t>Kompostierung</t>
  </si>
  <si>
    <t>Volumen [m³]</t>
  </si>
  <si>
    <t>einjähriges Kleegras</t>
  </si>
  <si>
    <t>zweijähriges Kleegras I</t>
  </si>
  <si>
    <t>zweijähriges Kleegras II</t>
  </si>
  <si>
    <t>-0,14</t>
  </si>
  <si>
    <t>-0,65</t>
  </si>
  <si>
    <t>292</t>
  </si>
  <si>
    <t>2,8</t>
  </si>
  <si>
    <t>W-Weizen</t>
  </si>
  <si>
    <t>42,3</t>
  </si>
  <si>
    <t>43,3</t>
  </si>
  <si>
    <t>1165,5</t>
  </si>
  <si>
    <t>Hanf</t>
  </si>
  <si>
    <t>9</t>
  </si>
  <si>
    <t>20</t>
  </si>
  <si>
    <t>1000</t>
  </si>
  <si>
    <t>10</t>
  </si>
  <si>
    <t>Lein</t>
  </si>
  <si>
    <t>Apr 1</t>
  </si>
  <si>
    <t>1 Jahre</t>
  </si>
  <si>
    <t>7 Jahre</t>
  </si>
  <si>
    <t>-104,3 €/AKh</t>
  </si>
  <si>
    <t>   einjähriges Kleegras   </t>
  </si>
  <si>
    <t>   Kompost   </t>
  </si>
  <si>
    <t>   W-Weizen   </t>
  </si>
  <si>
    <t>   Hanf   </t>
  </si>
  <si>
    <t>   Sojabohne   </t>
  </si>
  <si>
    <t>   W-Dinkel   </t>
  </si>
  <si>
    <t>   Sonnenblume   </t>
  </si>
  <si>
    <t>   Lein   </t>
  </si>
  <si>
    <t>   Sep 1   </t>
  </si>
  <si>
    <t>   Sep 2   </t>
  </si>
  <si>
    <t>   Apr 2   </t>
  </si>
  <si>
    <t>   Okt 1   </t>
  </si>
  <si>
    <t>   Okt 2   </t>
  </si>
  <si>
    <t>   Apr 1   </t>
  </si>
  <si>
    <t>      </t>
  </si>
  <si>
    <t>   Aug 1   </t>
  </si>
  <si>
    <t>   Aug 2   </t>
  </si>
  <si>
    <t>   12 Mon   </t>
  </si>
  <si>
    <t>   10,5 Mon   </t>
  </si>
  <si>
    <t>   5 Mon   </t>
  </si>
  <si>
    <t>   5,5 Mon   </t>
  </si>
  <si>
    <t>   9,5 Mon   </t>
  </si>
  <si>
    <t>   4,5 Mon   </t>
  </si>
  <si>
    <t>   0,5 Mon   </t>
  </si>
  <si>
    <t>   0 Mon   </t>
  </si>
  <si>
    <r>
      <t>   0 €/dt   </t>
    </r>
    <r>
      <rPr>
        <sz val="11"/>
        <color rgb="FFAAAAAA"/>
        <rFont val="Calibri"/>
        <family val="2"/>
        <scheme val="minor"/>
      </rPr>
      <t>_x000D_
   0 €/ha   _x000D_
   0 €   </t>
    </r>
  </si>
  <si>
    <r>
      <t>   0 €/ha   </t>
    </r>
    <r>
      <rPr>
        <sz val="11"/>
        <color rgb="FFAAAAAA"/>
        <rFont val="Calibri"/>
        <family val="2"/>
        <scheme val="minor"/>
      </rPr>
      <t>_x000D_
   0 €   </t>
    </r>
  </si>
  <si>
    <t>   -104,3 €/AKh   </t>
  </si>
  <si>
    <t>   0 €/AKh   </t>
  </si>
  <si>
    <t>   81,2 €/AKh   </t>
  </si>
  <si>
    <t>   -82 €/AKh   </t>
  </si>
  <si>
    <t>   171,9 €/AKh   </t>
  </si>
  <si>
    <t>   71,2 €/AKh   </t>
  </si>
  <si>
    <t>   100,6 €/AKh   </t>
  </si>
  <si>
    <t>   0 mm/m²   </t>
  </si>
  <si>
    <r>
      <t>   0 kg/dt   </t>
    </r>
    <r>
      <rPr>
        <sz val="11"/>
        <color rgb="FFAAAAAA"/>
        <rFont val="Calibri"/>
        <family val="2"/>
        <scheme val="minor"/>
      </rPr>
      <t>_x000D_
   0 kg/ha   _x000D_
   0 kg   </t>
    </r>
  </si>
  <si>
    <t>Anwendungszeit</t>
  </si>
  <si>
    <t>Kupfer</t>
  </si>
  <si>
    <t>Mangan</t>
  </si>
  <si>
    <t>Zink</t>
  </si>
  <si>
    <t>Borbilanz [g/dt]</t>
  </si>
  <si>
    <t>Kupferbilanz [g/dt]</t>
  </si>
  <si>
    <t>Manganbilanz [g/dt]</t>
  </si>
  <si>
    <t>Zinkbilanz [g/dt]</t>
  </si>
  <si>
    <r>
      <t>   0 g/dt   </t>
    </r>
    <r>
      <rPr>
        <sz val="11"/>
        <color rgb="FFAAAAAA"/>
        <rFont val="Calibri"/>
        <family val="2"/>
        <scheme val="minor"/>
      </rPr>
      <t>_x000D_
   0 g/ha   _x000D_
   0 g   </t>
    </r>
  </si>
  <si>
    <r>
      <t>0 kg/ha</t>
    </r>
    <r>
      <rPr>
        <sz val="11"/>
        <color rgb="FFAAAAAA"/>
        <rFont val="Calibri"/>
        <family val="2"/>
        <scheme val="minor"/>
      </rPr>
      <t>_x000D_
0 kg</t>
    </r>
  </si>
  <si>
    <r>
      <t>0 g/ha</t>
    </r>
    <r>
      <rPr>
        <sz val="11"/>
        <color rgb="FFAAAAAA"/>
        <rFont val="Calibri"/>
        <family val="2"/>
        <scheme val="minor"/>
      </rPr>
      <t>_x000D_
0 g</t>
    </r>
  </si>
  <si>
    <t>   307 mm/m²   </t>
  </si>
  <si>
    <t>   353 mm/m²   </t>
  </si>
  <si>
    <t>   6,5 ha   </t>
  </si>
  <si>
    <t>45,5 ha</t>
  </si>
  <si>
    <t>   5,1 ha   </t>
  </si>
  <si>
    <t>5,1 ha</t>
  </si>
  <si>
    <r>
      <t>   50 dt/ha   </t>
    </r>
    <r>
      <rPr>
        <sz val="11"/>
        <color rgb="FFAAAAAA"/>
        <rFont val="Calibri"/>
        <family val="2"/>
        <scheme val="minor"/>
      </rPr>
      <t>_x000D_
   325,2 dt   </t>
    </r>
  </si>
  <si>
    <r>
      <t>   111,2 dt/ha   </t>
    </r>
    <r>
      <rPr>
        <sz val="11"/>
        <color rgb="FFAAAAAA"/>
        <rFont val="Calibri"/>
        <family val="2"/>
        <scheme val="minor"/>
      </rPr>
      <t>_x000D_
   723 dt   </t>
    </r>
  </si>
  <si>
    <r>
      <t>   42,3 dt/ha   </t>
    </r>
    <r>
      <rPr>
        <sz val="11"/>
        <color rgb="FFAAAAAA"/>
        <rFont val="Calibri"/>
        <family val="2"/>
        <scheme val="minor"/>
      </rPr>
      <t>_x000D_
   275,1 dt   </t>
    </r>
  </si>
  <si>
    <r>
      <t>   9 dt/ha   </t>
    </r>
    <r>
      <rPr>
        <sz val="11"/>
        <color rgb="FFAAAAAA"/>
        <rFont val="Calibri"/>
        <family val="2"/>
        <scheme val="minor"/>
      </rPr>
      <t>_x000D_
   58,5 dt   </t>
    </r>
  </si>
  <si>
    <r>
      <t>   40 dt/ha   </t>
    </r>
    <r>
      <rPr>
        <sz val="11"/>
        <color rgb="FFAAAAAA"/>
        <rFont val="Calibri"/>
        <family val="2"/>
        <scheme val="minor"/>
      </rPr>
      <t>_x000D_
   260,1 dt   </t>
    </r>
  </si>
  <si>
    <r>
      <t>   35 dt/ha   </t>
    </r>
    <r>
      <rPr>
        <sz val="11"/>
        <color rgb="FFAAAAAA"/>
        <rFont val="Calibri"/>
        <family val="2"/>
        <scheme val="minor"/>
      </rPr>
      <t>_x000D_
   227,6 dt   </t>
    </r>
  </si>
  <si>
    <r>
      <t>   28 dt/ha   </t>
    </r>
    <r>
      <rPr>
        <sz val="11"/>
        <color rgb="FFAAAAAA"/>
        <rFont val="Calibri"/>
        <family val="2"/>
        <scheme val="minor"/>
      </rPr>
      <t>_x000D_
   182,1 dt   </t>
    </r>
  </si>
  <si>
    <r>
      <t>   50 dt/ha   </t>
    </r>
    <r>
      <rPr>
        <sz val="11"/>
        <color rgb="FFAAAAAA"/>
        <rFont val="Calibri"/>
        <family val="2"/>
        <scheme val="minor"/>
      </rPr>
      <t>_x000D_
   252,9 dt   </t>
    </r>
  </si>
  <si>
    <r>
      <t>   43,3 €/dt   </t>
    </r>
    <r>
      <rPr>
        <sz val="11"/>
        <color rgb="FFAAAAAA"/>
        <rFont val="Calibri"/>
        <family val="2"/>
        <scheme val="minor"/>
      </rPr>
      <t>_x000D_
   1831,6 €/ha   _x000D_
   11911,1 €   </t>
    </r>
  </si>
  <si>
    <r>
      <t>   20 €/dt   </t>
    </r>
    <r>
      <rPr>
        <sz val="11"/>
        <color rgb="FFAAAAAA"/>
        <rFont val="Calibri"/>
        <family val="2"/>
        <scheme val="minor"/>
      </rPr>
      <t>_x000D_
   180 €/ha   _x000D_
   1170,6 €   </t>
    </r>
  </si>
  <si>
    <r>
      <t>   72 €/dt   </t>
    </r>
    <r>
      <rPr>
        <sz val="11"/>
        <color rgb="FFAAAAAA"/>
        <rFont val="Calibri"/>
        <family val="2"/>
        <scheme val="minor"/>
      </rPr>
      <t>_x000D_
   2880 €/ha   _x000D_
   18729,1 €   </t>
    </r>
  </si>
  <si>
    <r>
      <t>   46 €/dt   </t>
    </r>
    <r>
      <rPr>
        <sz val="11"/>
        <color rgb="FFAAAAAA"/>
        <rFont val="Calibri"/>
        <family val="2"/>
        <scheme val="minor"/>
      </rPr>
      <t>_x000D_
   1610 €/ha   _x000D_
   10470,1 €   </t>
    </r>
  </si>
  <si>
    <r>
      <t>   75 €/dt   </t>
    </r>
    <r>
      <rPr>
        <sz val="11"/>
        <color rgb="FFAAAAAA"/>
        <rFont val="Calibri"/>
        <family val="2"/>
        <scheme val="minor"/>
      </rPr>
      <t>_x000D_
   2100 €/ha   _x000D_
   13656,6 €   </t>
    </r>
  </si>
  <si>
    <r>
      <t>   292 €/ha   </t>
    </r>
    <r>
      <rPr>
        <sz val="11"/>
        <color rgb="FFAAAAAA"/>
        <rFont val="Calibri"/>
        <family val="2"/>
        <scheme val="minor"/>
      </rPr>
      <t>_x000D_
   1898,9 €   </t>
    </r>
  </si>
  <si>
    <r>
      <t>   50 €/ha   </t>
    </r>
    <r>
      <rPr>
        <sz val="11"/>
        <color rgb="FFAAAAAA"/>
        <rFont val="Calibri"/>
        <family val="2"/>
        <scheme val="minor"/>
      </rPr>
      <t>_x000D_
   325,2 €   </t>
    </r>
  </si>
  <si>
    <r>
      <t>   1165,5 €/ha   </t>
    </r>
    <r>
      <rPr>
        <sz val="11"/>
        <color rgb="FFAAAAAA"/>
        <rFont val="Calibri"/>
        <family val="2"/>
        <scheme val="minor"/>
      </rPr>
      <t>_x000D_
   7579,4 €   </t>
    </r>
  </si>
  <si>
    <r>
      <t>   1000 €/ha   </t>
    </r>
    <r>
      <rPr>
        <sz val="11"/>
        <color rgb="FFAAAAAA"/>
        <rFont val="Calibri"/>
        <family val="2"/>
        <scheme val="minor"/>
      </rPr>
      <t>_x000D_
   6503,1 €   </t>
    </r>
  </si>
  <si>
    <r>
      <t>   1046 €/ha   </t>
    </r>
    <r>
      <rPr>
        <sz val="11"/>
        <color rgb="FFAAAAAA"/>
        <rFont val="Calibri"/>
        <family val="2"/>
        <scheme val="minor"/>
      </rPr>
      <t>_x000D_
   6802,3 €   </t>
    </r>
  </si>
  <si>
    <r>
      <t>   1026,4 €/ha   </t>
    </r>
    <r>
      <rPr>
        <sz val="11"/>
        <color rgb="FFAAAAAA"/>
        <rFont val="Calibri"/>
        <family val="2"/>
        <scheme val="minor"/>
      </rPr>
      <t>_x000D_
   6674,8 €   </t>
    </r>
  </si>
  <si>
    <r>
      <t>   1084,2 €/ha   </t>
    </r>
    <r>
      <rPr>
        <sz val="11"/>
        <color rgb="FFAAAAAA"/>
        <rFont val="Calibri"/>
        <family val="2"/>
        <scheme val="minor"/>
      </rPr>
      <t>_x000D_
   7050,7 €   </t>
    </r>
  </si>
  <si>
    <r>
      <t>   292 €/ha   </t>
    </r>
    <r>
      <rPr>
        <sz val="11"/>
        <color rgb="FFAAAAAA"/>
        <rFont val="Calibri"/>
        <family val="2"/>
        <scheme val="minor"/>
      </rPr>
      <t>_x000D_
   1476,9 €   </t>
    </r>
  </si>
  <si>
    <r>
      <t>   -292 €/ha   </t>
    </r>
    <r>
      <rPr>
        <sz val="11"/>
        <color rgb="FFAAAAAA"/>
        <rFont val="Calibri"/>
        <family val="2"/>
        <scheme val="minor"/>
      </rPr>
      <t>_x000D_
   -1898,9 €   </t>
    </r>
  </si>
  <si>
    <r>
      <t>   -50 €/ha   </t>
    </r>
    <r>
      <rPr>
        <sz val="11"/>
        <color rgb="FFAAAAAA"/>
        <rFont val="Calibri"/>
        <family val="2"/>
        <scheme val="minor"/>
      </rPr>
      <t>_x000D_
   -325,2 €   </t>
    </r>
  </si>
  <si>
    <r>
      <t>   666,09 €/ha   </t>
    </r>
    <r>
      <rPr>
        <sz val="11"/>
        <color rgb="FFAAAAAA"/>
        <rFont val="Calibri"/>
        <family val="2"/>
        <scheme val="minor"/>
      </rPr>
      <t>_x000D_
   4331,7 €   </t>
    </r>
  </si>
  <si>
    <r>
      <t>   -820 €/ha   </t>
    </r>
    <r>
      <rPr>
        <sz val="11"/>
        <color rgb="FFAAAAAA"/>
        <rFont val="Calibri"/>
        <family val="2"/>
        <scheme val="minor"/>
      </rPr>
      <t>_x000D_
   -5332,6 €   </t>
    </r>
  </si>
  <si>
    <r>
      <t>   1834 €/ha   </t>
    </r>
    <r>
      <rPr>
        <sz val="11"/>
        <color rgb="FFAAAAAA"/>
        <rFont val="Calibri"/>
        <family val="2"/>
        <scheme val="minor"/>
      </rPr>
      <t>_x000D_
   11926,8 €   </t>
    </r>
  </si>
  <si>
    <r>
      <t>   583,6 €/ha   </t>
    </r>
    <r>
      <rPr>
        <sz val="11"/>
        <color rgb="FFAAAAAA"/>
        <rFont val="Calibri"/>
        <family val="2"/>
        <scheme val="minor"/>
      </rPr>
      <t>_x000D_
   3795,2 €   </t>
    </r>
  </si>
  <si>
    <r>
      <t>   1015,8 €/ha   </t>
    </r>
    <r>
      <rPr>
        <sz val="11"/>
        <color rgb="FFAAAAAA"/>
        <rFont val="Calibri"/>
        <family val="2"/>
        <scheme val="minor"/>
      </rPr>
      <t>_x000D_
   6605,9 €   </t>
    </r>
  </si>
  <si>
    <r>
      <t>   -292 €/ha   </t>
    </r>
    <r>
      <rPr>
        <sz val="11"/>
        <color rgb="FFAAAAAA"/>
        <rFont val="Calibri"/>
        <family val="2"/>
        <scheme val="minor"/>
      </rPr>
      <t>_x000D_
   -1476,9 €   </t>
    </r>
  </si>
  <si>
    <r>
      <t>-292 €/ha</t>
    </r>
    <r>
      <rPr>
        <sz val="11"/>
        <color rgb="FFAAAAAA"/>
        <rFont val="Calibri"/>
        <family val="2"/>
        <scheme val="minor"/>
      </rPr>
      <t>_x000D_
-1476,9 €</t>
    </r>
  </si>
  <si>
    <r>
      <t>   2,8 AKh/ha   </t>
    </r>
    <r>
      <rPr>
        <sz val="11"/>
        <color rgb="FFAAAAAA"/>
        <rFont val="Calibri"/>
        <family val="2"/>
        <scheme val="minor"/>
      </rPr>
      <t>_x000D_
   18,2 AKh   </t>
    </r>
  </si>
  <si>
    <r>
      <t>   4 AKh/ha   </t>
    </r>
    <r>
      <rPr>
        <sz val="11"/>
        <color rgb="FFAAAAAA"/>
        <rFont val="Calibri"/>
        <family val="2"/>
        <scheme val="minor"/>
      </rPr>
      <t>_x000D_
   26 AKh   </t>
    </r>
  </si>
  <si>
    <r>
      <t>   8,2 AKh/ha   </t>
    </r>
    <r>
      <rPr>
        <sz val="11"/>
        <color rgb="FFAAAAAA"/>
        <rFont val="Calibri"/>
        <family val="2"/>
        <scheme val="minor"/>
      </rPr>
      <t>_x000D_
   53,3 AKh   </t>
    </r>
  </si>
  <si>
    <r>
      <t>   10 AKh/ha   </t>
    </r>
    <r>
      <rPr>
        <sz val="11"/>
        <color rgb="FFAAAAAA"/>
        <rFont val="Calibri"/>
        <family val="2"/>
        <scheme val="minor"/>
      </rPr>
      <t>_x000D_
   65 AKh   </t>
    </r>
  </si>
  <si>
    <r>
      <t>   10,67 AKh/ha   </t>
    </r>
    <r>
      <rPr>
        <sz val="11"/>
        <color rgb="FFAAAAAA"/>
        <rFont val="Calibri"/>
        <family val="2"/>
        <scheme val="minor"/>
      </rPr>
      <t>_x000D_
   69,4 AKh   </t>
    </r>
  </si>
  <si>
    <r>
      <t>   10,1 AKh/ha   </t>
    </r>
    <r>
      <rPr>
        <sz val="11"/>
        <color rgb="FFAAAAAA"/>
        <rFont val="Calibri"/>
        <family val="2"/>
        <scheme val="minor"/>
      </rPr>
      <t>_x000D_
   65,7 AKh   </t>
    </r>
  </si>
  <si>
    <r>
      <t>   2,8 AKh/ha   </t>
    </r>
    <r>
      <rPr>
        <sz val="11"/>
        <color rgb="FFAAAAAA"/>
        <rFont val="Calibri"/>
        <family val="2"/>
        <scheme val="minor"/>
      </rPr>
      <t>_x000D_
   14,2 AKh   </t>
    </r>
  </si>
  <si>
    <r>
      <t>2,8 AKh/ha</t>
    </r>
    <r>
      <rPr>
        <sz val="11"/>
        <color rgb="FFAAAAAA"/>
        <rFont val="Calibri"/>
        <family val="2"/>
        <scheme val="minor"/>
      </rPr>
      <t>_x000D_
14,2 AKh</t>
    </r>
  </si>
  <si>
    <r>
      <t>   -1,5 kg/dt   </t>
    </r>
    <r>
      <rPr>
        <sz val="11"/>
        <color rgb="FFAAAAAA"/>
        <rFont val="Calibri"/>
        <family val="2"/>
        <scheme val="minor"/>
      </rPr>
      <t>_x000D_
   -63,4 kg/ha   _x000D_
   -412,6 kg   </t>
    </r>
  </si>
  <si>
    <r>
      <t>   -0,5 kg/dt   </t>
    </r>
    <r>
      <rPr>
        <sz val="11"/>
        <color rgb="FFAAAAAA"/>
        <rFont val="Calibri"/>
        <family val="2"/>
        <scheme val="minor"/>
      </rPr>
      <t>_x000D_
   -4,5 kg/ha   _x000D_
   -29,3 kg   </t>
    </r>
  </si>
  <si>
    <r>
      <t>   -1,6 kg/dt   </t>
    </r>
    <r>
      <rPr>
        <sz val="11"/>
        <color rgb="FFAAAAAA"/>
        <rFont val="Calibri"/>
        <family val="2"/>
        <scheme val="minor"/>
      </rPr>
      <t>_x000D_
   -57,8 kg/ha   _x000D_
   -375,6 kg   </t>
    </r>
  </si>
  <si>
    <r>
      <t>   -2,9 kg/dt   </t>
    </r>
    <r>
      <rPr>
        <sz val="11"/>
        <color rgb="FFAAAAAA"/>
        <rFont val="Calibri"/>
        <family val="2"/>
        <scheme val="minor"/>
      </rPr>
      <t>_x000D_
   -81,5 kg/ha   _x000D_
   -529,9 kg   </t>
    </r>
  </si>
  <si>
    <r>
      <t>   -0,1 kg/dt   </t>
    </r>
    <r>
      <rPr>
        <sz val="11"/>
        <color rgb="FFAAAAAA"/>
        <rFont val="Calibri"/>
        <family val="2"/>
        <scheme val="minor"/>
      </rPr>
      <t>_x000D_
   -7 kg/ha   _x000D_
   -45,5 kg   </t>
    </r>
  </si>
  <si>
    <r>
      <t>   -0,8 kg/dt   </t>
    </r>
    <r>
      <rPr>
        <sz val="11"/>
        <color rgb="FFAAAAAA"/>
        <rFont val="Calibri"/>
        <family val="2"/>
        <scheme val="minor"/>
      </rPr>
      <t>_x000D_
   -33,8 kg/ha   _x000D_
   -220,1 kg   </t>
    </r>
  </si>
  <si>
    <r>
      <t>   -1,5 kg/dt   </t>
    </r>
    <r>
      <rPr>
        <sz val="11"/>
        <color rgb="FFAAAAAA"/>
        <rFont val="Calibri"/>
        <family val="2"/>
        <scheme val="minor"/>
      </rPr>
      <t>_x000D_
   -60 kg/ha   _x000D_
   -390,2 kg   </t>
    </r>
  </si>
  <si>
    <r>
      <t>   -0,8 kg/dt   </t>
    </r>
    <r>
      <rPr>
        <sz val="11"/>
        <color rgb="FFAAAAAA"/>
        <rFont val="Calibri"/>
        <family val="2"/>
        <scheme val="minor"/>
      </rPr>
      <t>_x000D_
   -28 kg/ha   _x000D_
   -182,1 kg   </t>
    </r>
  </si>
  <si>
    <r>
      <t>   -1,6 kg/dt   </t>
    </r>
    <r>
      <rPr>
        <sz val="11"/>
        <color rgb="FFAAAAAA"/>
        <rFont val="Calibri"/>
        <family val="2"/>
        <scheme val="minor"/>
      </rPr>
      <t>_x000D_
   -44,8 kg/ha   _x000D_
   -291,3 kg   </t>
    </r>
  </si>
  <si>
    <r>
      <t>   -0,1 kg/dt   </t>
    </r>
    <r>
      <rPr>
        <sz val="11"/>
        <color rgb="FFAAAAAA"/>
        <rFont val="Calibri"/>
        <family val="2"/>
        <scheme val="minor"/>
      </rPr>
      <t>_x000D_
   -7 kg/ha   _x000D_
   -35,4 kg   </t>
    </r>
  </si>
  <si>
    <r>
      <t>-7 kg/ha</t>
    </r>
    <r>
      <rPr>
        <sz val="11"/>
        <color rgb="FFAAAAAA"/>
        <rFont val="Calibri"/>
        <family val="2"/>
        <scheme val="minor"/>
      </rPr>
      <t>_x000D_
-35,4 kg</t>
    </r>
  </si>
  <si>
    <r>
      <t>   -0,6 kg/dt   </t>
    </r>
    <r>
      <rPr>
        <sz val="11"/>
        <color rgb="FFAAAAAA"/>
        <rFont val="Calibri"/>
        <family val="2"/>
        <scheme val="minor"/>
      </rPr>
      <t>_x000D_
   -32,5 kg/ha   _x000D_
   -211,4 kg   </t>
    </r>
  </si>
  <si>
    <r>
      <t>   -0,6 kg/dt   </t>
    </r>
    <r>
      <rPr>
        <sz val="11"/>
        <color rgb="FFAAAAAA"/>
        <rFont val="Calibri"/>
        <family val="2"/>
        <scheme val="minor"/>
      </rPr>
      <t>_x000D_
   -25,4 kg/ha   _x000D_
   -165 kg   </t>
    </r>
  </si>
  <si>
    <r>
      <t>   -1,7 kg/dt   </t>
    </r>
    <r>
      <rPr>
        <sz val="11"/>
        <color rgb="FFAAAAAA"/>
        <rFont val="Calibri"/>
        <family val="2"/>
        <scheme val="minor"/>
      </rPr>
      <t>_x000D_
   -68 kg/ha   _x000D_
   -442,2 kg   </t>
    </r>
  </si>
  <si>
    <r>
      <t>   -2,4 kg/dt   </t>
    </r>
    <r>
      <rPr>
        <sz val="11"/>
        <color rgb="FFAAAAAA"/>
        <rFont val="Calibri"/>
        <family val="2"/>
        <scheme val="minor"/>
      </rPr>
      <t>_x000D_
   -67,2 kg/ha   _x000D_
   -437 kg   </t>
    </r>
  </si>
  <si>
    <r>
      <t>   -0,6 kg/dt   </t>
    </r>
    <r>
      <rPr>
        <sz val="11"/>
        <color rgb="FFAAAAAA"/>
        <rFont val="Calibri"/>
        <family val="2"/>
        <scheme val="minor"/>
      </rPr>
      <t>_x000D_
   -32,5 kg/ha   _x000D_
   -164,4 kg   </t>
    </r>
  </si>
  <si>
    <r>
      <t>-32,5 kg/ha</t>
    </r>
    <r>
      <rPr>
        <sz val="11"/>
        <color rgb="FFAAAAAA"/>
        <rFont val="Calibri"/>
        <family val="2"/>
        <scheme val="minor"/>
      </rPr>
      <t>_x000D_
-164,4 kg</t>
    </r>
  </si>
  <si>
    <r>
      <t>   -0,1 kg/dt   </t>
    </r>
    <r>
      <rPr>
        <sz val="11"/>
        <color rgb="FFAAAAAA"/>
        <rFont val="Calibri"/>
        <family val="2"/>
        <scheme val="minor"/>
      </rPr>
      <t>_x000D_
   -4,8 kg/ha   _x000D_
   -31,5 kg   </t>
    </r>
  </si>
  <si>
    <r>
      <t>   0,6 kg/dt   </t>
    </r>
    <r>
      <rPr>
        <sz val="11"/>
        <color rgb="FFAAAAAA"/>
        <rFont val="Calibri"/>
        <family val="2"/>
        <scheme val="minor"/>
      </rPr>
      <t>_x000D_
   67,1 kg/ha   _x000D_
   436,1 kg   </t>
    </r>
  </si>
  <si>
    <r>
      <t>-11,1 kg/ha</t>
    </r>
    <r>
      <rPr>
        <sz val="11"/>
        <color rgb="FFAAAAAA"/>
        <rFont val="Calibri"/>
        <family val="2"/>
        <scheme val="minor"/>
      </rPr>
      <t>_x000D_
-504,5 kg</t>
    </r>
  </si>
  <si>
    <r>
      <t>-10 kg/ha</t>
    </r>
    <r>
      <rPr>
        <sz val="11"/>
        <color rgb="FFAAAAAA"/>
        <rFont val="Calibri"/>
        <family val="2"/>
        <scheme val="minor"/>
      </rPr>
      <t>_x000D_
-504,5 kg</t>
    </r>
  </si>
  <si>
    <r>
      <t>   -0,1 kg/dt   </t>
    </r>
    <r>
      <rPr>
        <sz val="11"/>
        <color rgb="FFAAAAAA"/>
        <rFont val="Calibri"/>
        <family val="2"/>
        <scheme val="minor"/>
      </rPr>
      <t>_x000D_
   -3,5 kg/ha   _x000D_
   -22,8 kg   </t>
    </r>
  </si>
  <si>
    <r>
      <t>   -0,1 kg/dt   </t>
    </r>
    <r>
      <rPr>
        <sz val="11"/>
        <color rgb="FFAAAAAA"/>
        <rFont val="Calibri"/>
        <family val="2"/>
        <scheme val="minor"/>
      </rPr>
      <t>_x000D_
   -3,5 kg/ha   _x000D_
   -17,7 kg   </t>
    </r>
  </si>
  <si>
    <r>
      <t>-3,5 kg/ha</t>
    </r>
    <r>
      <rPr>
        <sz val="11"/>
        <color rgb="FFAAAAAA"/>
        <rFont val="Calibri"/>
        <family val="2"/>
        <scheme val="minor"/>
      </rPr>
      <t>_x000D_
-17,7 kg</t>
    </r>
  </si>
  <si>
    <r>
      <t>   -0,1 kg/dt   </t>
    </r>
    <r>
      <rPr>
        <sz val="11"/>
        <color rgb="FFAAAAAA"/>
        <rFont val="Calibri"/>
        <family val="2"/>
        <scheme val="minor"/>
      </rPr>
      <t>_x000D_
   -4,5 kg/ha   _x000D_
   -29,3 kg   </t>
    </r>
  </si>
  <si>
    <r>
      <t>   -0,1 kg/dt   </t>
    </r>
    <r>
      <rPr>
        <sz val="11"/>
        <color rgb="FFAAAAAA"/>
        <rFont val="Calibri"/>
        <family val="2"/>
        <scheme val="minor"/>
      </rPr>
      <t>_x000D_
   -4,5 kg/ha   _x000D_
   -22,8 kg   </t>
    </r>
  </si>
  <si>
    <r>
      <t>-4,5 kg/ha</t>
    </r>
    <r>
      <rPr>
        <sz val="11"/>
        <color rgb="FFAAAAAA"/>
        <rFont val="Calibri"/>
        <family val="2"/>
        <scheme val="minor"/>
      </rPr>
      <t>_x000D_
-22,8 kg</t>
    </r>
  </si>
  <si>
    <r>
      <t>   -0,4 g/dt   </t>
    </r>
    <r>
      <rPr>
        <sz val="11"/>
        <color rgb="FFAAAAAA"/>
        <rFont val="Calibri"/>
        <family val="2"/>
        <scheme val="minor"/>
      </rPr>
      <t>_x000D_
   -15,9 g/ha   _x000D_
   -103,2 g   </t>
    </r>
  </si>
  <si>
    <r>
      <t>   -0,4 g/dt   </t>
    </r>
    <r>
      <rPr>
        <sz val="11"/>
        <color rgb="FFAAAAAA"/>
        <rFont val="Calibri"/>
        <family val="2"/>
        <scheme val="minor"/>
      </rPr>
      <t>_x000D_
   -13,1 g/ha   _x000D_
   -85,4 g   </t>
    </r>
  </si>
  <si>
    <r>
      <t>-4,1 g/ha</t>
    </r>
    <r>
      <rPr>
        <sz val="11"/>
        <color rgb="FFAAAAAA"/>
        <rFont val="Calibri"/>
        <family val="2"/>
        <scheme val="minor"/>
      </rPr>
      <t>_x000D_
-188,5 g</t>
    </r>
  </si>
  <si>
    <r>
      <t>-3,7 g/ha</t>
    </r>
    <r>
      <rPr>
        <sz val="11"/>
        <color rgb="FFAAAAAA"/>
        <rFont val="Calibri"/>
        <family val="2"/>
        <scheme val="minor"/>
      </rPr>
      <t>_x000D_
-188,5 g</t>
    </r>
  </si>
  <si>
    <r>
      <t>   -0,4 g/dt   </t>
    </r>
    <r>
      <rPr>
        <sz val="11"/>
        <color rgb="FFAAAAAA"/>
        <rFont val="Calibri"/>
        <family val="2"/>
        <scheme val="minor"/>
      </rPr>
      <t>_x000D_
   -18,5 g/ha   _x000D_
   -120,3 g   </t>
    </r>
  </si>
  <si>
    <r>
      <t>   -0,4 g/dt   </t>
    </r>
    <r>
      <rPr>
        <sz val="11"/>
        <color rgb="FFAAAAAA"/>
        <rFont val="Calibri"/>
        <family val="2"/>
        <scheme val="minor"/>
      </rPr>
      <t>_x000D_
   -15,3 g/ha   _x000D_
   -99,6 g   </t>
    </r>
  </si>
  <si>
    <r>
      <t>-4,8 g/ha</t>
    </r>
    <r>
      <rPr>
        <sz val="11"/>
        <color rgb="FFAAAAAA"/>
        <rFont val="Calibri"/>
        <family val="2"/>
        <scheme val="minor"/>
      </rPr>
      <t>_x000D_
-219,9 g</t>
    </r>
  </si>
  <si>
    <r>
      <t>-4,3 g/ha</t>
    </r>
    <r>
      <rPr>
        <sz val="11"/>
        <color rgb="FFAAAAAA"/>
        <rFont val="Calibri"/>
        <family val="2"/>
        <scheme val="minor"/>
      </rPr>
      <t>_x000D_
-219,9 g</t>
    </r>
  </si>
  <si>
    <r>
      <t>   -5,6 g/dt   </t>
    </r>
    <r>
      <rPr>
        <sz val="11"/>
        <color rgb="FFAAAAAA"/>
        <rFont val="Calibri"/>
        <family val="2"/>
        <scheme val="minor"/>
      </rPr>
      <t>_x000D_
   -237,9 g/ha   _x000D_
   -1547,3 g   </t>
    </r>
  </si>
  <si>
    <r>
      <t>   -5,6 g/dt   </t>
    </r>
    <r>
      <rPr>
        <sz val="11"/>
        <color rgb="FFAAAAAA"/>
        <rFont val="Calibri"/>
        <family val="2"/>
        <scheme val="minor"/>
      </rPr>
      <t>_x000D_
   -196,9 g/ha   _x000D_
   -1280,3 g   </t>
    </r>
  </si>
  <si>
    <r>
      <t>-62,1 g/ha</t>
    </r>
    <r>
      <rPr>
        <sz val="11"/>
        <color rgb="FFAAAAAA"/>
        <rFont val="Calibri"/>
        <family val="2"/>
        <scheme val="minor"/>
      </rPr>
      <t>_x000D_
-2827,6 g</t>
    </r>
  </si>
  <si>
    <r>
      <t>-55,9 g/ha</t>
    </r>
    <r>
      <rPr>
        <sz val="11"/>
        <color rgb="FFAAAAAA"/>
        <rFont val="Calibri"/>
        <family val="2"/>
        <scheme val="minor"/>
      </rPr>
      <t>_x000D_
-2827,6 g</t>
    </r>
  </si>
  <si>
    <r>
      <t>   -1,9 g/dt   </t>
    </r>
    <r>
      <rPr>
        <sz val="11"/>
        <color rgb="FFAAAAAA"/>
        <rFont val="Calibri"/>
        <family val="2"/>
        <scheme val="minor"/>
      </rPr>
      <t>_x000D_
   -79,3 g/ha   _x000D_
   -515,8 g   </t>
    </r>
  </si>
  <si>
    <r>
      <t>   -1,9 g/dt   </t>
    </r>
    <r>
      <rPr>
        <sz val="11"/>
        <color rgb="FFAAAAAA"/>
        <rFont val="Calibri"/>
        <family val="2"/>
        <scheme val="minor"/>
      </rPr>
      <t>_x000D_
   -65,6 g/ha   _x000D_
   -426,8 g   </t>
    </r>
  </si>
  <si>
    <r>
      <t>-20,7 g/ha</t>
    </r>
    <r>
      <rPr>
        <sz val="11"/>
        <color rgb="FFAAAAAA"/>
        <rFont val="Calibri"/>
        <family val="2"/>
        <scheme val="minor"/>
      </rPr>
      <t>_x000D_
-942,5 g</t>
    </r>
  </si>
  <si>
    <r>
      <t>-18,6 g/ha</t>
    </r>
    <r>
      <rPr>
        <sz val="11"/>
        <color rgb="FFAAAAAA"/>
        <rFont val="Calibri"/>
        <family val="2"/>
        <scheme val="minor"/>
      </rPr>
      <t>_x000D_
-942,5 g</t>
    </r>
  </si>
  <si>
    <r>
      <t>   0,2 kg/dt   </t>
    </r>
    <r>
      <rPr>
        <sz val="11"/>
        <color rgb="FFAAAAAA"/>
        <rFont val="Calibri"/>
        <family val="2"/>
        <scheme val="minor"/>
      </rPr>
      <t>_x000D_
   22,8 kg/ha   _x000D_
   148,5 kg   </t>
    </r>
  </si>
  <si>
    <r>
      <t>-19,6 kg/ha</t>
    </r>
    <r>
      <rPr>
        <sz val="11"/>
        <color rgb="FFAAAAAA"/>
        <rFont val="Calibri"/>
        <family val="2"/>
        <scheme val="minor"/>
      </rPr>
      <t>_x000D_
-890,8 kg</t>
    </r>
  </si>
  <si>
    <r>
      <t>-18,3 kg/ha</t>
    </r>
    <r>
      <rPr>
        <sz val="11"/>
        <color rgb="FFAAAAAA"/>
        <rFont val="Calibri"/>
        <family val="2"/>
        <scheme val="minor"/>
      </rPr>
      <t>_x000D_
-926,2 kg</t>
    </r>
  </si>
  <si>
    <r>
      <t>   0,5 kg/dt   </t>
    </r>
    <r>
      <rPr>
        <sz val="11"/>
        <color rgb="FFAAAAAA"/>
        <rFont val="Calibri"/>
        <family val="2"/>
        <scheme val="minor"/>
      </rPr>
      <t>_x000D_
   58,9 kg/ha   _x000D_
   383,2 kg   </t>
    </r>
  </si>
  <si>
    <r>
      <t>-16 kg/ha</t>
    </r>
    <r>
      <rPr>
        <sz val="11"/>
        <color rgb="FFAAAAAA"/>
        <rFont val="Calibri"/>
        <family val="2"/>
        <scheme val="minor"/>
      </rPr>
      <t>_x000D_
-729,8 kg</t>
    </r>
  </si>
  <si>
    <r>
      <t>-17,7 kg/ha</t>
    </r>
    <r>
      <rPr>
        <sz val="11"/>
        <color rgb="FFAAAAAA"/>
        <rFont val="Calibri"/>
        <family val="2"/>
        <scheme val="minor"/>
      </rPr>
      <t>_x000D_
-894,1 kg</t>
    </r>
  </si>
  <si>
    <r>
      <t>   0 kg/dt   </t>
    </r>
    <r>
      <rPr>
        <sz val="11"/>
        <color rgb="FFAAAAAA"/>
        <rFont val="Calibri"/>
        <family val="2"/>
        <scheme val="minor"/>
      </rPr>
      <t>_x000D_
   2,8 kg/ha   _x000D_
   18,5 kg   </t>
    </r>
  </si>
  <si>
    <r>
      <t>0,3 kg/ha</t>
    </r>
    <r>
      <rPr>
        <sz val="11"/>
        <color rgb="FFAAAAAA"/>
        <rFont val="Calibri"/>
        <family val="2"/>
        <scheme val="minor"/>
      </rPr>
      <t>_x000D_
14,3 kg</t>
    </r>
  </si>
  <si>
    <r>
      <t>-0,1 kg/ha</t>
    </r>
    <r>
      <rPr>
        <sz val="11"/>
        <color rgb="FFAAAAAA"/>
        <rFont val="Calibri"/>
        <family val="2"/>
        <scheme val="minor"/>
      </rPr>
      <t>_x000D_
-3,4 kg</t>
    </r>
  </si>
  <si>
    <r>
      <t>   0,1 kg/dt   </t>
    </r>
    <r>
      <rPr>
        <sz val="11"/>
        <color rgb="FFAAAAAA"/>
        <rFont val="Calibri"/>
        <family val="2"/>
        <scheme val="minor"/>
      </rPr>
      <t>_x000D_
   7,4 kg/ha   _x000D_
   48 kg   </t>
    </r>
  </si>
  <si>
    <r>
      <t>2,1 kg/ha</t>
    </r>
    <r>
      <rPr>
        <sz val="11"/>
        <color rgb="FFAAAAAA"/>
        <rFont val="Calibri"/>
        <family val="2"/>
        <scheme val="minor"/>
      </rPr>
      <t>_x000D_
96 kg</t>
    </r>
  </si>
  <si>
    <r>
      <t>1,9 kg/ha</t>
    </r>
    <r>
      <rPr>
        <sz val="11"/>
        <color rgb="FFAAAAAA"/>
        <rFont val="Calibri"/>
        <family val="2"/>
        <scheme val="minor"/>
      </rPr>
      <t>_x000D_
96 kg</t>
    </r>
  </si>
  <si>
    <r>
      <t>   0,1 kg/dt   </t>
    </r>
    <r>
      <rPr>
        <sz val="11"/>
        <color rgb="FFAAAAAA"/>
        <rFont val="Calibri"/>
        <family val="2"/>
        <scheme val="minor"/>
      </rPr>
      <t>_x000D_
   15,3 kg/ha   _x000D_
   99,2 kg   </t>
    </r>
  </si>
  <si>
    <r>
      <t>3 kg/ha</t>
    </r>
    <r>
      <rPr>
        <sz val="11"/>
        <color rgb="FFAAAAAA"/>
        <rFont val="Calibri"/>
        <family val="2"/>
        <scheme val="minor"/>
      </rPr>
      <t>_x000D_
137,7 kg</t>
    </r>
  </si>
  <si>
    <r>
      <t>2,3 kg/ha</t>
    </r>
    <r>
      <rPr>
        <sz val="11"/>
        <color rgb="FFAAAAAA"/>
        <rFont val="Calibri"/>
        <family val="2"/>
        <scheme val="minor"/>
      </rPr>
      <t>_x000D_
115 kg</t>
    </r>
  </si>
  <si>
    <t>   125 mm/m²   </t>
  </si>
  <si>
    <t>   500 mm/m²   </t>
  </si>
  <si>
    <t>   450 mm/m²   </t>
  </si>
  <si>
    <t>   300 mm/m²   </t>
  </si>
  <si>
    <t>   178 mm/m²   </t>
  </si>
  <si>
    <t>300 mm/m²</t>
  </si>
  <si>
    <t>Zwischenfrucht 1</t>
  </si>
  <si>
    <t>Zwischenfrucht 2</t>
  </si>
  <si>
    <t>Zwischenfrucht 3</t>
  </si>
  <si>
    <t>Mar 2</t>
  </si>
  <si>
    <t>   Zwischenfrucht 1   </t>
  </si>
  <si>
    <t>   Zwischenfrucht 2   </t>
  </si>
  <si>
    <t>   Zwischenfrucht 3   </t>
  </si>
  <si>
    <t>   Mar 2   </t>
  </si>
  <si>
    <t>   7,5 Mon   </t>
  </si>
  <si>
    <t>   6 Mon   </t>
  </si>
  <si>
    <r>
      <t>   0 dt/ha   </t>
    </r>
    <r>
      <rPr>
        <sz val="11"/>
        <color rgb="FFAAAAAA"/>
        <rFont val="Calibri"/>
        <family val="2"/>
        <scheme val="minor"/>
      </rPr>
      <t>_x000D_
   0 dt   </t>
    </r>
  </si>
  <si>
    <r>
      <t>   300 €/ha   </t>
    </r>
    <r>
      <rPr>
        <sz val="11"/>
        <color rgb="FFAAAAAA"/>
        <rFont val="Calibri"/>
        <family val="2"/>
        <scheme val="minor"/>
      </rPr>
      <t>_x000D_
   1950,9 €   </t>
    </r>
  </si>
  <si>
    <r>
      <t>   -300 €/ha   </t>
    </r>
    <r>
      <rPr>
        <sz val="11"/>
        <color rgb="FFAAAAAA"/>
        <rFont val="Calibri"/>
        <family val="2"/>
        <scheme val="minor"/>
      </rPr>
      <t>_x000D_
   -1950,9 €   </t>
    </r>
  </si>
  <si>
    <r>
      <t>138,2 €/ha</t>
    </r>
    <r>
      <rPr>
        <sz val="11"/>
        <color rgb="FFAAAAAA"/>
        <rFont val="Calibri"/>
        <family val="2"/>
        <scheme val="minor"/>
      </rPr>
      <t>_x000D_
6291,7 €</t>
    </r>
  </si>
  <si>
    <r>
      <t>95,2 €/ha</t>
    </r>
    <r>
      <rPr>
        <sz val="11"/>
        <color rgb="FFAAAAAA"/>
        <rFont val="Calibri"/>
        <family val="2"/>
        <scheme val="minor"/>
      </rPr>
      <t>_x000D_
4814,8 €</t>
    </r>
  </si>
  <si>
    <r>
      <t>   2 AKh/ha   </t>
    </r>
    <r>
      <rPr>
        <sz val="11"/>
        <color rgb="FFAAAAAA"/>
        <rFont val="Calibri"/>
        <family val="2"/>
        <scheme val="minor"/>
      </rPr>
      <t>_x000D_
   13 AKh   </t>
    </r>
  </si>
  <si>
    <r>
      <t>10,9 AKh/ha</t>
    </r>
    <r>
      <rPr>
        <sz val="11"/>
        <color rgb="FFAAAAAA"/>
        <rFont val="Calibri"/>
        <family val="2"/>
        <scheme val="minor"/>
      </rPr>
      <t>_x000D_
494 AKh</t>
    </r>
  </si>
  <si>
    <r>
      <t>10 AKh/ha</t>
    </r>
    <r>
      <rPr>
        <sz val="11"/>
        <color rgb="FFAAAAAA"/>
        <rFont val="Calibri"/>
        <family val="2"/>
        <scheme val="minor"/>
      </rPr>
      <t>_x000D_
508,2 AKh</t>
    </r>
  </si>
  <si>
    <t>   -150 €/AKh   </t>
  </si>
  <si>
    <t>12,7 €/AKh</t>
  </si>
  <si>
    <t>9,5 €/AKh</t>
  </si>
  <si>
    <t>   200 mm/m²   </t>
  </si>
  <si>
    <t>430 mm/m²</t>
  </si>
  <si>
    <t>417 mm/m²</t>
  </si>
  <si>
    <t>Kompost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</si>
</sst>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9"/>
      <color indexed="81"/>
      <name val="Segoe UI"/>
      <family val="2"/>
    </font>
    <font>
      <i/>
      <sz val="11"/>
      <color theme="1"/>
      <name val="Calibri"/>
      <family val="2"/>
      <scheme val="minor"/>
    </font>
    <font>
      <sz val="11"/>
      <color rgb="FFAAAAAA"/>
      <name val="Calibri"/>
      <family val="2"/>
      <scheme val="minor"/>
    </font>
    <font>
      <u/>
      <sz val="11"/>
      <color theme="10"/>
      <name val="Calibri"/>
      <family val="2"/>
      <scheme val="minor"/>
    </font>
    <font>
      <b/>
      <sz val="9"/>
      <color indexed="81"/>
      <name val="Segoe UI"/>
      <charset val="1"/>
    </font>
  </fonts>
  <fills count="9">
    <fill>
      <patternFill patternType="none"/>
    </fill>
    <fill>
      <patternFill patternType="gray125"/>
    </fill>
    <fill>
      <patternFill patternType="solid">
        <fgColor rgb="FF9BC2E6"/>
        <bgColor indexed="64"/>
      </patternFill>
    </fill>
    <fill>
      <patternFill patternType="solid">
        <fgColor rgb="FFF2F8EE"/>
        <bgColor indexed="64"/>
      </patternFill>
    </fill>
    <fill>
      <patternFill patternType="solid">
        <fgColor rgb="FFD5E8CA"/>
        <bgColor indexed="64"/>
      </patternFill>
    </fill>
    <fill>
      <patternFill patternType="solid">
        <fgColor theme="9" tint="0.59999389629810485"/>
        <bgColor indexed="64"/>
      </patternFill>
    </fill>
    <fill>
      <patternFill patternType="solid">
        <fgColor rgb="FFE2EFDA"/>
        <bgColor indexed="64"/>
      </patternFill>
    </fill>
    <fill>
      <patternFill patternType="solid">
        <fgColor theme="4" tint="0.79998168889431442"/>
        <bgColor indexed="64"/>
      </patternFill>
    </fill>
    <fill>
      <patternFill patternType="solid">
        <fgColor rgb="FFFF5B5B"/>
        <bgColor indexed="64"/>
      </patternFill>
    </fill>
  </fills>
  <borders count="22">
    <border>
      <left/>
      <right/>
      <top/>
      <bottom/>
      <diagonal/>
    </border>
    <border>
      <left style="medium">
        <color indexed="64"/>
      </left>
      <right style="medium">
        <color indexed="64"/>
      </right>
      <top style="medium">
        <color indexed="64"/>
      </top>
      <bottom style="medium">
        <color indexed="64"/>
      </bottom>
      <diagonal/>
    </border>
    <border>
      <left/>
      <right/>
      <top style="medium">
        <color rgb="FF808080"/>
      </top>
      <bottom/>
      <diagonal/>
    </border>
    <border>
      <left/>
      <right style="thick">
        <color rgb="FF808080"/>
      </right>
      <top style="medium">
        <color rgb="FF808080"/>
      </top>
      <bottom/>
      <diagonal/>
    </border>
    <border>
      <left style="thick">
        <color rgb="FF808080"/>
      </left>
      <right/>
      <top style="medium">
        <color rgb="FF808080"/>
      </top>
      <bottom/>
      <diagonal/>
    </border>
    <border>
      <left style="thin">
        <color rgb="FFBFBFBF"/>
      </left>
      <right/>
      <top style="thin">
        <color rgb="FF808080"/>
      </top>
      <bottom/>
      <diagonal/>
    </border>
    <border>
      <left/>
      <right/>
      <top style="thin">
        <color rgb="FF808080"/>
      </top>
      <bottom/>
      <diagonal/>
    </border>
    <border>
      <left style="thick">
        <color rgb="FF808080"/>
      </left>
      <right style="thin">
        <color rgb="FFBFBFBF"/>
      </right>
      <top style="thin">
        <color rgb="FF808080"/>
      </top>
      <bottom/>
      <diagonal/>
    </border>
    <border>
      <left style="thick">
        <color rgb="FF808080"/>
      </left>
      <right/>
      <top/>
      <bottom/>
      <diagonal/>
    </border>
    <border>
      <left/>
      <right style="thick">
        <color rgb="FF808080"/>
      </right>
      <top/>
      <bottom/>
      <diagonal/>
    </border>
    <border>
      <left style="thin">
        <color rgb="FFBFBFBF"/>
      </left>
      <right/>
      <top style="medium">
        <color rgb="FF808080"/>
      </top>
      <bottom/>
      <diagonal/>
    </border>
    <border>
      <left style="thin">
        <color rgb="FFBFBFBF"/>
      </left>
      <right/>
      <top/>
      <bottom/>
      <diagonal/>
    </border>
    <border>
      <left style="thick">
        <color rgb="FF808080"/>
      </left>
      <right style="thin">
        <color rgb="FFBFBFBF"/>
      </right>
      <top/>
      <bottom/>
      <diagonal/>
    </border>
    <border>
      <left/>
      <right/>
      <top/>
      <bottom style="thin">
        <color rgb="FF808080"/>
      </bottom>
      <diagonal/>
    </border>
    <border>
      <left style="thick">
        <color rgb="FF808080"/>
      </left>
      <right/>
      <top/>
      <bottom style="thin">
        <color rgb="FF808080"/>
      </bottom>
      <diagonal/>
    </border>
    <border>
      <left/>
      <right style="thick">
        <color rgb="FF808080"/>
      </right>
      <top/>
      <bottom style="thin">
        <color rgb="FF808080"/>
      </bottom>
      <diagonal/>
    </border>
    <border>
      <left style="medium">
        <color rgb="FF808080"/>
      </left>
      <right style="thick">
        <color rgb="FF808080"/>
      </right>
      <top style="thin">
        <color rgb="FF808080"/>
      </top>
      <bottom/>
      <diagonal/>
    </border>
    <border>
      <left style="medium">
        <color rgb="FF808080"/>
      </left>
      <right style="thick">
        <color rgb="FF808080"/>
      </right>
      <top/>
      <bottom/>
      <diagonal/>
    </border>
    <border>
      <left style="medium">
        <color rgb="FF808080"/>
      </left>
      <right style="thick">
        <color rgb="FF808080"/>
      </right>
      <top style="medium">
        <color rgb="FF808080"/>
      </top>
      <bottom/>
      <diagonal/>
    </border>
    <border>
      <left/>
      <right/>
      <top style="thick">
        <color rgb="FF808080"/>
      </top>
      <bottom/>
      <diagonal/>
    </border>
    <border>
      <left/>
      <right style="thin">
        <color rgb="FF808080"/>
      </right>
      <top style="thick">
        <color rgb="FF808080"/>
      </top>
      <bottom/>
      <diagonal/>
    </border>
    <border>
      <left/>
      <right style="thin">
        <color rgb="FF808080"/>
      </right>
      <top/>
      <bottom/>
      <diagonal/>
    </border>
  </borders>
  <cellStyleXfs count="2">
    <xf numFmtId="0" fontId="0" fillId="0" borderId="0"/>
    <xf numFmtId="0" fontId="4" fillId="0" borderId="0" applyNumberFormat="0" applyFill="0" applyBorder="0" applyAlignment="0" applyProtection="0"/>
  </cellStyleXfs>
  <cellXfs count="58">
    <xf numFmtId="0" fontId="0" fillId="0" borderId="0" xfId="0"/>
    <xf numFmtId="0" fontId="0" fillId="0" borderId="0" xfId="0" applyAlignment="1">
      <alignment horizontal="left"/>
    </xf>
    <xf numFmtId="49" fontId="0" fillId="0" borderId="0" xfId="0" applyNumberFormat="1"/>
    <xf numFmtId="0" fontId="0" fillId="2" borderId="1" xfId="0" applyFill="1" applyBorder="1" applyAlignment="1">
      <alignment horizontal="center" vertical="top"/>
    </xf>
    <xf numFmtId="0" fontId="0" fillId="0" borderId="0" xfId="0" applyAlignment="1">
      <alignment horizontal="right" vertical="top"/>
    </xf>
    <xf numFmtId="0" fontId="2" fillId="0" borderId="0" xfId="0" applyFont="1" applyAlignment="1">
      <alignment horizontal="right" vertical="top"/>
    </xf>
    <xf numFmtId="0" fontId="2" fillId="0" borderId="2" xfId="0" applyFont="1" applyBorder="1" applyAlignment="1">
      <alignment horizontal="right" vertical="top"/>
    </xf>
    <xf numFmtId="0" fontId="0" fillId="0" borderId="2" xfId="0" applyBorder="1" applyAlignment="1">
      <alignment horizontal="right" vertical="top"/>
    </xf>
    <xf numFmtId="49" fontId="0" fillId="3" borderId="11" xfId="0" applyNumberFormat="1" applyFill="1" applyBorder="1" applyAlignment="1">
      <alignment horizontal="center" vertical="top" wrapText="1"/>
    </xf>
    <xf numFmtId="49" fontId="0" fillId="3" borderId="12" xfId="0" applyNumberFormat="1" applyFill="1" applyBorder="1" applyAlignment="1">
      <alignment horizontal="center" vertical="top" wrapText="1"/>
    </xf>
    <xf numFmtId="49" fontId="0" fillId="3" borderId="4" xfId="0" applyNumberFormat="1" applyFill="1" applyBorder="1" applyAlignment="1">
      <alignment horizontal="center" vertical="top" wrapText="1"/>
    </xf>
    <xf numFmtId="49" fontId="0" fillId="3" borderId="10" xfId="0" applyNumberFormat="1" applyFill="1" applyBorder="1" applyAlignment="1">
      <alignment horizontal="center" vertical="top" wrapText="1"/>
    </xf>
    <xf numFmtId="0" fontId="0" fillId="0" borderId="0" xfId="0" applyAlignment="1">
      <alignment horizontal="center" vertical="top"/>
    </xf>
    <xf numFmtId="49" fontId="0" fillId="3" borderId="5" xfId="0" applyNumberFormat="1" applyFill="1" applyBorder="1" applyAlignment="1">
      <alignment horizontal="center" vertical="top" wrapText="1"/>
    </xf>
    <xf numFmtId="49" fontId="0" fillId="3" borderId="6" xfId="0" applyNumberFormat="1" applyFill="1" applyBorder="1" applyAlignment="1">
      <alignment horizontal="center" vertical="top" wrapText="1"/>
    </xf>
    <xf numFmtId="49" fontId="0" fillId="3" borderId="7" xfId="0" applyNumberFormat="1" applyFill="1" applyBorder="1" applyAlignment="1">
      <alignment horizontal="center" vertical="top" wrapText="1"/>
    </xf>
    <xf numFmtId="49" fontId="0" fillId="3" borderId="16" xfId="0" applyNumberFormat="1" applyFill="1" applyBorder="1" applyAlignment="1">
      <alignment horizontal="center" vertical="top" wrapText="1"/>
    </xf>
    <xf numFmtId="49" fontId="0" fillId="6" borderId="17" xfId="0" applyNumberFormat="1" applyFill="1" applyBorder="1" applyAlignment="1">
      <alignment horizontal="center" vertical="top" wrapText="1"/>
    </xf>
    <xf numFmtId="49" fontId="0" fillId="3" borderId="18" xfId="0" applyNumberFormat="1" applyFill="1" applyBorder="1" applyAlignment="1">
      <alignment horizontal="center" vertical="top" wrapText="1"/>
    </xf>
    <xf numFmtId="49" fontId="0" fillId="3" borderId="17" xfId="0" applyNumberFormat="1" applyFill="1" applyBorder="1" applyAlignment="1">
      <alignment horizontal="center" vertical="top" wrapText="1"/>
    </xf>
    <xf numFmtId="0" fontId="4" fillId="0" borderId="0" xfId="1" applyNumberFormat="1" applyFill="1" applyAlignment="1">
      <alignment horizontal="left"/>
    </xf>
    <xf numFmtId="0" fontId="0" fillId="0" borderId="0" xfId="0" applyNumberFormat="1" applyAlignment="1">
      <alignment horizontal="left"/>
    </xf>
    <xf numFmtId="0" fontId="4" fillId="0" borderId="0" xfId="1" applyNumberFormat="1" applyAlignment="1">
      <alignment horizontal="left"/>
    </xf>
    <xf numFmtId="0" fontId="0" fillId="0" borderId="0" xfId="0" applyNumberFormat="1" applyFill="1" applyAlignment="1">
      <alignment horizontal="left"/>
    </xf>
    <xf numFmtId="0" fontId="0" fillId="0" borderId="0" xfId="0" applyNumberFormat="1" applyAlignment="1">
      <alignment horizontal="right"/>
    </xf>
    <xf numFmtId="0" fontId="0" fillId="5" borderId="0" xfId="0" applyNumberFormat="1" applyFill="1" applyAlignment="1">
      <alignment horizontal="left"/>
    </xf>
    <xf numFmtId="0" fontId="0" fillId="0" borderId="0" xfId="0" applyAlignment="1">
      <alignment horizontal="right"/>
    </xf>
    <xf numFmtId="0" fontId="4" fillId="0" borderId="0" xfId="1"/>
    <xf numFmtId="0" fontId="4" fillId="0" borderId="0" xfId="1" applyFill="1"/>
    <xf numFmtId="0" fontId="0" fillId="0" borderId="0" xfId="0" applyBorder="1" applyAlignment="1">
      <alignment horizontal="left"/>
    </xf>
    <xf numFmtId="49" fontId="0" fillId="0" borderId="0" xfId="0" applyNumberFormat="1" applyBorder="1"/>
    <xf numFmtId="49" fontId="0" fillId="0" borderId="19" xfId="0" applyNumberFormat="1" applyFill="1" applyBorder="1"/>
    <xf numFmtId="0" fontId="0" fillId="0" borderId="19" xfId="0" applyNumberFormat="1" applyBorder="1" applyAlignment="1">
      <alignment horizontal="left"/>
    </xf>
    <xf numFmtId="0" fontId="0" fillId="0" borderId="0" xfId="0" applyNumberFormat="1" applyBorder="1" applyAlignment="1">
      <alignment horizontal="left"/>
    </xf>
    <xf numFmtId="49" fontId="0" fillId="7" borderId="20" xfId="0" applyNumberFormat="1" applyFill="1" applyBorder="1" applyAlignment="1">
      <alignment horizontal="right"/>
    </xf>
    <xf numFmtId="49" fontId="0" fillId="0" borderId="21" xfId="0" applyNumberFormat="1" applyBorder="1" applyAlignment="1">
      <alignment horizontal="right"/>
    </xf>
    <xf numFmtId="0" fontId="0" fillId="0" borderId="21" xfId="0" applyBorder="1" applyAlignment="1">
      <alignment horizontal="right"/>
    </xf>
    <xf numFmtId="0" fontId="0" fillId="7" borderId="20" xfId="0" applyNumberFormat="1" applyFont="1" applyFill="1" applyBorder="1" applyAlignment="1">
      <alignment horizontal="right"/>
    </xf>
    <xf numFmtId="0" fontId="0" fillId="0" borderId="21" xfId="0" applyNumberFormat="1" applyBorder="1" applyAlignment="1">
      <alignment horizontal="right"/>
    </xf>
    <xf numFmtId="0" fontId="0" fillId="7" borderId="20" xfId="0" applyNumberFormat="1" applyFill="1" applyBorder="1" applyAlignment="1">
      <alignment horizontal="right"/>
    </xf>
    <xf numFmtId="0" fontId="0" fillId="0" borderId="19" xfId="0" applyBorder="1"/>
    <xf numFmtId="0" fontId="0" fillId="7" borderId="20" xfId="0" applyFill="1" applyBorder="1" applyAlignment="1">
      <alignment horizontal="right"/>
    </xf>
    <xf numFmtId="49" fontId="0" fillId="3" borderId="0" xfId="0" applyNumberFormat="1" applyFill="1" applyBorder="1" applyAlignment="1">
      <alignment horizontal="center" vertical="top" wrapText="1"/>
    </xf>
    <xf numFmtId="49" fontId="0" fillId="4" borderId="8" xfId="0" applyNumberFormat="1" applyFill="1" applyBorder="1" applyAlignment="1">
      <alignment horizontal="center" vertical="top" wrapText="1"/>
    </xf>
    <xf numFmtId="49" fontId="0" fillId="0" borderId="0" xfId="0" applyNumberFormat="1" applyBorder="1" applyAlignment="1">
      <alignment horizontal="center" vertical="top" wrapText="1"/>
    </xf>
    <xf numFmtId="49" fontId="0" fillId="0" borderId="9" xfId="0" applyNumberFormat="1" applyBorder="1" applyAlignment="1">
      <alignment horizontal="center" vertical="top" wrapText="1"/>
    </xf>
    <xf numFmtId="49" fontId="0" fillId="6" borderId="8" xfId="0" applyNumberFormat="1" applyFill="1" applyBorder="1" applyAlignment="1">
      <alignment horizontal="center" vertical="top" wrapText="1"/>
    </xf>
    <xf numFmtId="49" fontId="0" fillId="0" borderId="0" xfId="0" applyNumberFormat="1" applyAlignment="1">
      <alignment horizontal="center" vertical="top" wrapText="1"/>
    </xf>
    <xf numFmtId="49" fontId="0" fillId="4" borderId="4" xfId="0" applyNumberFormat="1" applyFill="1" applyBorder="1" applyAlignment="1">
      <alignment horizontal="center" vertical="top" wrapText="1"/>
    </xf>
    <xf numFmtId="49" fontId="0" fillId="3" borderId="2" xfId="0" applyNumberFormat="1" applyFill="1" applyBorder="1" applyAlignment="1">
      <alignment horizontal="center" vertical="top" wrapText="1"/>
    </xf>
    <xf numFmtId="49" fontId="0" fillId="3" borderId="3" xfId="0" applyNumberFormat="1" applyFill="1" applyBorder="1" applyAlignment="1">
      <alignment horizontal="center" vertical="top" wrapText="1"/>
    </xf>
    <xf numFmtId="49" fontId="0" fillId="3" borderId="0" xfId="0" applyNumberFormat="1" applyFill="1" applyBorder="1" applyAlignment="1">
      <alignment horizontal="center" vertical="top" wrapText="1"/>
    </xf>
    <xf numFmtId="49" fontId="0" fillId="4" borderId="14" xfId="0" applyNumberFormat="1" applyFill="1" applyBorder="1" applyAlignment="1">
      <alignment horizontal="center" vertical="top" wrapText="1"/>
    </xf>
    <xf numFmtId="49" fontId="0" fillId="0" borderId="13" xfId="0" applyNumberFormat="1" applyBorder="1" applyAlignment="1">
      <alignment horizontal="center" vertical="top" wrapText="1"/>
    </xf>
    <xf numFmtId="49" fontId="0" fillId="0" borderId="15" xfId="0" applyNumberFormat="1" applyBorder="1" applyAlignment="1">
      <alignment horizontal="center" vertical="top" wrapText="1"/>
    </xf>
    <xf numFmtId="49" fontId="0" fillId="0" borderId="0" xfId="0" applyNumberFormat="1" applyAlignment="1">
      <alignment horizontal="left"/>
    </xf>
    <xf numFmtId="0" fontId="0" fillId="8" borderId="0" xfId="0" applyNumberFormat="1" applyFill="1" applyAlignment="1">
      <alignment horizontal="left"/>
    </xf>
    <xf numFmtId="0" fontId="0" fillId="8" borderId="0" xfId="0" applyFill="1"/>
  </cellXfs>
  <cellStyles count="2">
    <cellStyle name="Link" xfId="1" builtinId="8"/>
    <cellStyle name="Standard" xfId="0" builtinId="0"/>
  </cellStyles>
  <dxfs count="0"/>
  <tableStyles count="0" defaultTableStyle="TableStyleMedium2" defaultPivotStyle="PivotStyleLight16"/>
  <colors>
    <mruColors>
      <color rgb="FFFF5B5B"/>
      <color rgb="FF808080"/>
      <color rgb="FFD5E8CA"/>
      <color rgb="FFF2F8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https://www.landwirtschaft.sachsen.de/bpsplanweb/planung/oekologisch/verfahrenlang/6367" TargetMode="External"/><Relationship Id="rId18" Type="http://schemas.openxmlformats.org/officeDocument/2006/relationships/hyperlink" Target="https://www.kws.com/de/de/beratung/aussaat/bodenbearbeitung/mais/" TargetMode="External"/><Relationship Id="rId26" Type="http://schemas.openxmlformats.org/officeDocument/2006/relationships/hyperlink" Target="https://www.lfl.bayern.de/mam/cms07/publikationen/daten/informationen/leitfaden-duengung-acker-gruenland_gelbes-heft_lfl-information.pdf" TargetMode="External"/><Relationship Id="rId39" Type="http://schemas.openxmlformats.org/officeDocument/2006/relationships/hyperlink" Target="https://www.lfl.bayern.de/mam/cms07/publikationen/daten/informationen/leitfaden-duengung-acker-gruenland_gelbes-heft_lfl-information.pdf" TargetMode="External"/><Relationship Id="rId21" Type="http://schemas.openxmlformats.org/officeDocument/2006/relationships/hyperlink" Target="https://www.agrarheute.com/pflanze/getreide/spelzweizen-beim-dinkel-anbau-beachten-444197" TargetMode="External"/><Relationship Id="rId34" Type="http://schemas.openxmlformats.org/officeDocument/2006/relationships/hyperlink" Target="https://www.lfl.bayern.de/mam/cms07/publikationen/daten/informationen/leitfaden-duengung-acker-gruenland_gelbes-heft_lfl-information.pdf" TargetMode="External"/><Relationship Id="rId42" Type="http://schemas.openxmlformats.org/officeDocument/2006/relationships/hyperlink" Target="https://www.lfl.bayern.de/mam/cms07/publikationen/daten/informationen/leitfaden-duengung-acker-gruenland_gelbes-heft_lfl-information.pdf" TargetMode="External"/><Relationship Id="rId47" Type="http://schemas.openxmlformats.org/officeDocument/2006/relationships/hyperlink" Target="https://www.lfl.bayern.de/mam/cms07/publikationen/daten/informationen/leitfaden-duengung-acker-gruenland_gelbes-heft_lfl-information.pdf" TargetMode="External"/><Relationship Id="rId50" Type="http://schemas.openxmlformats.org/officeDocument/2006/relationships/hyperlink" Target="https://www.2000m2.eu/wp-content/uploads/Kulturblatt-Sojabohne-Bio-Austria.pdf" TargetMode="External"/><Relationship Id="rId55" Type="http://schemas.openxmlformats.org/officeDocument/2006/relationships/printerSettings" Target="../printerSettings/printerSettings3.bin"/><Relationship Id="rId7" Type="http://schemas.openxmlformats.org/officeDocument/2006/relationships/hyperlink" Target="https://www.landwirtschaft.sachsen.de/bpsplanweb/planung/oekologisch/verfahrenkurz/6680?Leistungsgruppe=2&amp;Mechanisierungsvariante=2&amp;Gebiet=0" TargetMode="External"/><Relationship Id="rId2" Type="http://schemas.openxmlformats.org/officeDocument/2006/relationships/hyperlink" Target="https://www.landwirtschaft.sachsen.de/bpsplanweb/planung/oekologisch/verfahrenlang/6721" TargetMode="External"/><Relationship Id="rId16" Type="http://schemas.openxmlformats.org/officeDocument/2006/relationships/hyperlink" Target="https://llh.hessen.de/pflanze/boden-und-duengung/mikronaehrstoffe/welchen-nutzen-bringen-mikro-naehrstoffbeizen-bei-weizen/" TargetMode="External"/><Relationship Id="rId29" Type="http://schemas.openxmlformats.org/officeDocument/2006/relationships/hyperlink" Target="https://www.lfl.bayern.de/mam/cms07/publikationen/daten/informationen/leitfaden-duengung-acker-gruenland_gelbes-heft_lfl-information.pdf" TargetMode="External"/><Relationship Id="rId11" Type="http://schemas.openxmlformats.org/officeDocument/2006/relationships/hyperlink" Target="https://www.stmelf.bayern.de/idb/oekowinterweizen.html" TargetMode="External"/><Relationship Id="rId24" Type="http://schemas.openxmlformats.org/officeDocument/2006/relationships/hyperlink" Target="https://www.lfl.bayern.de/mam/cms07/publikationen/daten/informationen/leitfaden-duengung-acker-gruenland_gelbes-heft_lfl-information.pdf" TargetMode="External"/><Relationship Id="rId32" Type="http://schemas.openxmlformats.org/officeDocument/2006/relationships/hyperlink" Target="https://www.lfl.bayern.de/mam/cms07/publikationen/daten/informationen/leitfaden-duengung-acker-gruenland_gelbes-heft_lfl-information.pdf" TargetMode="External"/><Relationship Id="rId37" Type="http://schemas.openxmlformats.org/officeDocument/2006/relationships/hyperlink" Target="https://www.lfl.bayern.de/mam/cms07/publikationen/daten/informationen/leitfaden-duengung-acker-gruenland_gelbes-heft_lfl-information.pdf" TargetMode="External"/><Relationship Id="rId40" Type="http://schemas.openxmlformats.org/officeDocument/2006/relationships/hyperlink" Target="https://www.lfl.bayern.de/mam/cms07/publikationen/daten/informationen/leitfaden-duengung-acker-gruenland_gelbes-heft_lfl-information.pdf" TargetMode="External"/><Relationship Id="rId45" Type="http://schemas.openxmlformats.org/officeDocument/2006/relationships/hyperlink" Target="https://www.lfl.bayern.de/mam/cms07/publikationen/daten/informationen/leitfaden-duengung-acker-gruenland_gelbes-heft_lfl-information.pdf" TargetMode="External"/><Relationship Id="rId53" Type="http://schemas.openxmlformats.org/officeDocument/2006/relationships/hyperlink" Target="https://www.oekolandbau.de/landwirtschaft/pflanze/spezieller-pflanzenbau/oekologischer-oelleinanbau/" TargetMode="External"/><Relationship Id="rId5" Type="http://schemas.openxmlformats.org/officeDocument/2006/relationships/hyperlink" Target="https://www.landwirtschaft.sachsen.de/bpsplanweb/planung/oekologisch/verfahrenkurz/6680?Leistungsgruppe=2&amp;Mechanisierungsvariante=2&amp;Gebiet=0" TargetMode="External"/><Relationship Id="rId19" Type="http://schemas.openxmlformats.org/officeDocument/2006/relationships/hyperlink" Target="https://www.kws.com/de/de/beratung/aussaat/bodenbearbeitung/mais/" TargetMode="External"/><Relationship Id="rId4" Type="http://schemas.openxmlformats.org/officeDocument/2006/relationships/hyperlink" Target="https://www.landwirtschaft.sachsen.de/bpsplanweb/planung/oekologisch/verfahrenlang/6721" TargetMode="External"/><Relationship Id="rId9" Type="http://schemas.openxmlformats.org/officeDocument/2006/relationships/hyperlink" Target="https://www.stmelf.bayern.de/idb/oekowinterweizen.html" TargetMode="External"/><Relationship Id="rId14" Type="http://schemas.openxmlformats.org/officeDocument/2006/relationships/hyperlink" Target="https://www.landwirtschaft.sachsen.de/bpsplanweb/planung/oekologisch/verfahrenlang/6367" TargetMode="External"/><Relationship Id="rId22" Type="http://schemas.openxmlformats.org/officeDocument/2006/relationships/hyperlink" Target="https://www.landwirtschaftskammer.de/landwirtschaft/ackerbau/eiweisspflanzen/lsvarchiv/leguminosenanbau.htm" TargetMode="External"/><Relationship Id="rId27" Type="http://schemas.openxmlformats.org/officeDocument/2006/relationships/hyperlink" Target="https://www.lfl.bayern.de/mam/cms07/publikationen/daten/informationen/leitfaden-duengung-acker-gruenland_gelbes-heft_lfl-information.pdf" TargetMode="External"/><Relationship Id="rId30" Type="http://schemas.openxmlformats.org/officeDocument/2006/relationships/hyperlink" Target="https://www.lfl.bayern.de/mam/cms07/publikationen/daten/informationen/leitfaden-duengung-acker-gruenland_gelbes-heft_lfl-information.pdf" TargetMode="External"/><Relationship Id="rId35" Type="http://schemas.openxmlformats.org/officeDocument/2006/relationships/hyperlink" Target="https://www.lfl.bayern.de/mam/cms07/publikationen/daten/informationen/leitfaden-duengung-acker-gruenland_gelbes-heft_lfl-information.pdf" TargetMode="External"/><Relationship Id="rId43" Type="http://schemas.openxmlformats.org/officeDocument/2006/relationships/hyperlink" Target="https://www.lfl.bayern.de/mam/cms07/publikationen/daten/informationen/leitfaden-duengung-acker-gruenland_gelbes-heft_lfl-information.pdf" TargetMode="External"/><Relationship Id="rId48" Type="http://schemas.openxmlformats.org/officeDocument/2006/relationships/hyperlink" Target="https://llg.sachsen-anhalt.de/fileadmin/Bibliothek/Politik_und_Verwaltung/MLU/LLFG/Dokumentepdf_7.pdf" TargetMode="External"/><Relationship Id="rId56" Type="http://schemas.openxmlformats.org/officeDocument/2006/relationships/vmlDrawing" Target="../drawings/vmlDrawing2.vml"/><Relationship Id="rId8" Type="http://schemas.openxmlformats.org/officeDocument/2006/relationships/hyperlink" Target="https://www.stmelf.bayern.de/idb/oekowinterweizen.html" TargetMode="External"/><Relationship Id="rId51" Type="http://schemas.openxmlformats.org/officeDocument/2006/relationships/hyperlink" Target="https://de.wikipedia.org/wiki/Sonnenblume" TargetMode="External"/><Relationship Id="rId3" Type="http://schemas.openxmlformats.org/officeDocument/2006/relationships/hyperlink" Target="https://www.landwirtschaft.sachsen.de/bpsplanweb/planung/oekologisch/verfahrenkurz/6680?Leistungsgruppe=2&amp;Mechanisierungsvariante=2&amp;Gebiet=0" TargetMode="External"/><Relationship Id="rId12" Type="http://schemas.openxmlformats.org/officeDocument/2006/relationships/hyperlink" Target="https://www.landwirtschaft.sachsen.de/bpsplanweb/planung/oekologisch/verfahrenlang/6367" TargetMode="External"/><Relationship Id="rId17" Type="http://schemas.openxmlformats.org/officeDocument/2006/relationships/hyperlink" Target="https://www.yara.de/pflanzenernaehrung/pure-nutrient/info12-wassernutzungs-effizienz/wasserbedarf-im-pflanzenbau/" TargetMode="External"/><Relationship Id="rId25" Type="http://schemas.openxmlformats.org/officeDocument/2006/relationships/hyperlink" Target="https://www.lfl.bayern.de/mam/cms07/publikationen/daten/informationen/leitfaden-duengung-acker-gruenland_gelbes-heft_lfl-information.pdf" TargetMode="External"/><Relationship Id="rId33" Type="http://schemas.openxmlformats.org/officeDocument/2006/relationships/hyperlink" Target="https://www.lfl.bayern.de/mam/cms07/publikationen/daten/informationen/leitfaden-duengung-acker-gruenland_gelbes-heft_lfl-information.pdf" TargetMode="External"/><Relationship Id="rId38" Type="http://schemas.openxmlformats.org/officeDocument/2006/relationships/hyperlink" Target="https://www.lfl.bayern.de/mam/cms07/publikationen/daten/informationen/leitfaden-duengung-acker-gruenland_gelbes-heft_lfl-information.pdf" TargetMode="External"/><Relationship Id="rId46" Type="http://schemas.openxmlformats.org/officeDocument/2006/relationships/hyperlink" Target="https://www.lfl.bayern.de/mam/cms07/publikationen/daten/informationen/leitfaden-duengung-acker-gruenland_gelbes-heft_lfl-information.pdf" TargetMode="External"/><Relationship Id="rId20" Type="http://schemas.openxmlformats.org/officeDocument/2006/relationships/hyperlink" Target="https://www.hauptsaaten.de/fileadmin/hauptsaaten/files/2021_Haferfibel.pdf" TargetMode="External"/><Relationship Id="rId41" Type="http://schemas.openxmlformats.org/officeDocument/2006/relationships/hyperlink" Target="https://www.lfl.bayern.de/mam/cms07/publikationen/daten/informationen/leitfaden-duengung-acker-gruenland_gelbes-heft_lfl-information.pdf" TargetMode="External"/><Relationship Id="rId54" Type="http://schemas.openxmlformats.org/officeDocument/2006/relationships/hyperlink" Target="https://homeguides.sfgate.com/germinate-spinach-21786.html" TargetMode="External"/><Relationship Id="rId1" Type="http://schemas.openxmlformats.org/officeDocument/2006/relationships/hyperlink" Target="https://www.kws.com/de/de/beratung/aussaat/bodenbearbeitung/mais/" TargetMode="External"/><Relationship Id="rId6" Type="http://schemas.openxmlformats.org/officeDocument/2006/relationships/hyperlink" Target="https://www.landwirtschaft.sachsen.de/bpsplanweb/planung/oekologisch/verfahrenlang/6721" TargetMode="External"/><Relationship Id="rId15" Type="http://schemas.openxmlformats.org/officeDocument/2006/relationships/hyperlink" Target="https://www.oekolandbau.de/landwirtschaft/pflanze/spezieller-pflanzenbau/oelfruechte/oekologischer-hanfanbau/" TargetMode="External"/><Relationship Id="rId23" Type="http://schemas.openxmlformats.org/officeDocument/2006/relationships/hyperlink" Target="https://www.praxisnah.de/index.cfm/article/8612.html" TargetMode="External"/><Relationship Id="rId28" Type="http://schemas.openxmlformats.org/officeDocument/2006/relationships/hyperlink" Target="https://www.lfl.bayern.de/mam/cms07/publikationen/daten/informationen/leitfaden-duengung-acker-gruenland_gelbes-heft_lfl-information.pdf" TargetMode="External"/><Relationship Id="rId36" Type="http://schemas.openxmlformats.org/officeDocument/2006/relationships/hyperlink" Target="https://www.lfl.bayern.de/mam/cms07/publikationen/daten/informationen/leitfaden-duengung-acker-gruenland_gelbes-heft_lfl-information.pdf" TargetMode="External"/><Relationship Id="rId49" Type="http://schemas.openxmlformats.org/officeDocument/2006/relationships/hyperlink" Target="https://llg.sachsen-anhalt.de/fileadmin/Bibliothek/Politik_und_Verwaltung/MLU/LLFG/Dokumentepdf_7.pdf" TargetMode="External"/><Relationship Id="rId57" Type="http://schemas.openxmlformats.org/officeDocument/2006/relationships/comments" Target="../comments2.xml"/><Relationship Id="rId10" Type="http://schemas.openxmlformats.org/officeDocument/2006/relationships/hyperlink" Target="https://www.stmelf.bayern.de/idb/oekowinterweizen.html" TargetMode="External"/><Relationship Id="rId31" Type="http://schemas.openxmlformats.org/officeDocument/2006/relationships/hyperlink" Target="https://www.lfl.bayern.de/mam/cms07/publikationen/daten/informationen/leitfaden-duengung-acker-gruenland_gelbes-heft_lfl-information.pdf" TargetMode="External"/><Relationship Id="rId44" Type="http://schemas.openxmlformats.org/officeDocument/2006/relationships/hyperlink" Target="https://www.lfl.bayern.de/mam/cms07/publikationen/daten/informationen/leitfaden-duengung-acker-gruenland_gelbes-heft_lfl-information.pdf" TargetMode="External"/><Relationship Id="rId52" Type="http://schemas.openxmlformats.org/officeDocument/2006/relationships/hyperlink" Target="https://www.laborpraxis.vogel.de/mehr-hanf-fuer-weniger-wasser-auf-dem-feld-a-977973/"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www.lfl.bayern.de/mam/cms07/publikationen/daten/informationen/leitfaden-duengung-acker-gruenland_gelbes-heft_lfl-information.pdf" TargetMode="External"/><Relationship Id="rId13" Type="http://schemas.openxmlformats.org/officeDocument/2006/relationships/hyperlink" Target="http://www.fnr.de/fileadmin/allgemein/pdf/broschueren/leitfadenfestebiobrennstoffe_web.pdf" TargetMode="External"/><Relationship Id="rId3" Type="http://schemas.openxmlformats.org/officeDocument/2006/relationships/hyperlink" Target="https://www.lfl.bayern.de/mam/cms07/publikationen/daten/informationen/leitfaden-duengung-acker-gruenland_gelbes-heft_lfl-information.pdf" TargetMode="External"/><Relationship Id="rId7" Type="http://schemas.openxmlformats.org/officeDocument/2006/relationships/hyperlink" Target="https://www.lfl.bayern.de/mam/cms07/publikationen/daten/informationen/leitfaden-duengung-acker-gruenland_gelbes-heft_lfl-information.pdf" TargetMode="External"/><Relationship Id="rId12" Type="http://schemas.openxmlformats.org/officeDocument/2006/relationships/hyperlink" Target="http://www.fnr.de/fileadmin/allgemein/pdf/broschueren/leitfadenfestebiobrennstoffe_web.pdf" TargetMode="External"/><Relationship Id="rId2" Type="http://schemas.openxmlformats.org/officeDocument/2006/relationships/hyperlink" Target="https://www.lfl.bayern.de/mam/cms07/publikationen/daten/informationen/leitfaden-duengung-acker-gruenland_gelbes-heft_lfl-information.pdf" TargetMode="External"/><Relationship Id="rId1" Type="http://schemas.openxmlformats.org/officeDocument/2006/relationships/hyperlink" Target="https://www.lfl.bayern.de/mam/cms07/publikationen/daten/informationen/leitfaden-duengung-acker-gruenland_gelbes-heft_lfl-information.pdf" TargetMode="External"/><Relationship Id="rId6" Type="http://schemas.openxmlformats.org/officeDocument/2006/relationships/hyperlink" Target="https://www.lfl.bayern.de/mam/cms07/publikationen/daten/informationen/leitfaden-duengung-acker-gruenland_gelbes-heft_lfl-information.pdf" TargetMode="External"/><Relationship Id="rId11" Type="http://schemas.openxmlformats.org/officeDocument/2006/relationships/hyperlink" Target="http://www.fnr.de/fileadmin/allgemein/pdf/broschueren/leitfadenfestebiobrennstoffe_web.pdf" TargetMode="External"/><Relationship Id="rId5" Type="http://schemas.openxmlformats.org/officeDocument/2006/relationships/hyperlink" Target="https://www.lfl.bayern.de/mam/cms07/publikationen/daten/informationen/leitfaden-duengung-acker-gruenland_gelbes-heft_lfl-information.pdf" TargetMode="External"/><Relationship Id="rId15" Type="http://schemas.openxmlformats.org/officeDocument/2006/relationships/comments" Target="../comments3.xml"/><Relationship Id="rId10" Type="http://schemas.openxmlformats.org/officeDocument/2006/relationships/hyperlink" Target="http://www.fnr.de/fileadmin/allgemein/pdf/broschueren/leitfadenfestebiobrennstoffe_web.pdf" TargetMode="External"/><Relationship Id="rId4" Type="http://schemas.openxmlformats.org/officeDocument/2006/relationships/hyperlink" Target="https://www.lfl.bayern.de/mam/cms07/publikationen/daten/informationen/leitfaden-duengung-acker-gruenland_gelbes-heft_lfl-information.pdf" TargetMode="External"/><Relationship Id="rId9" Type="http://schemas.openxmlformats.org/officeDocument/2006/relationships/hyperlink" Target="http://www.fnr.de/fileadmin/allgemein/pdf/broschueren/leitfadenfestebiobrennstoffe_web.pdf" TargetMode="External"/><Relationship Id="rId1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B1:Q61"/>
  <sheetViews>
    <sheetView showGridLines="0" tabSelected="1" zoomScale="74" zoomScaleNormal="100" workbookViewId="0">
      <selection activeCell="D10" sqref="D10:Q10"/>
    </sheetView>
  </sheetViews>
  <sheetFormatPr baseColWidth="10" defaultColWidth="11.5703125" defaultRowHeight="15" x14ac:dyDescent="0.25"/>
  <cols>
    <col min="1" max="1" width="11.5703125" style="12"/>
    <col min="2" max="2" width="22.7109375" style="12" bestFit="1" customWidth="1"/>
    <col min="3" max="3" width="31.85546875" style="12" bestFit="1" customWidth="1"/>
    <col min="4" max="4" width="22.28515625" style="12" bestFit="1" customWidth="1"/>
    <col min="5" max="5" width="14.28515625" style="12" bestFit="1" customWidth="1"/>
    <col min="6" max="6" width="14.5703125" style="12" bestFit="1" customWidth="1"/>
    <col min="7" max="7" width="19.28515625" style="12" bestFit="1" customWidth="1"/>
    <col min="8" max="8" width="14.28515625" style="12" bestFit="1" customWidth="1"/>
    <col min="9" max="9" width="19.28515625" style="12" bestFit="1" customWidth="1"/>
    <col min="10" max="10" width="15.7109375" style="12" bestFit="1" customWidth="1"/>
    <col min="11" max="11" width="14.28515625" style="12" bestFit="1" customWidth="1"/>
    <col min="12" max="12" width="14.5703125" style="12" bestFit="1" customWidth="1"/>
    <col min="13" max="13" width="19.28515625" style="12" bestFit="1" customWidth="1"/>
    <col min="14" max="14" width="16.140625" style="12" bestFit="1" customWidth="1"/>
    <col min="15" max="15" width="19.28515625" style="12" bestFit="1" customWidth="1"/>
    <col min="16" max="16" width="14.28515625" style="12" bestFit="1" customWidth="1"/>
    <col min="17" max="17" width="22.28515625" style="12" bestFit="1" customWidth="1"/>
    <col min="18" max="16384" width="11.5703125" style="12"/>
  </cols>
  <sheetData>
    <row r="1" spans="2:17" ht="15" customHeight="1" thickBot="1" x14ac:dyDescent="0.3"/>
    <row r="2" spans="2:17" ht="15" customHeight="1" thickBot="1" x14ac:dyDescent="0.3">
      <c r="B2" s="3" t="s">
        <v>13</v>
      </c>
    </row>
    <row r="3" spans="2:17" ht="15" customHeight="1" thickBot="1" x14ac:dyDescent="0.3"/>
    <row r="4" spans="2:17" ht="15" customHeight="1" x14ac:dyDescent="0.25">
      <c r="B4" s="6" t="s">
        <v>21</v>
      </c>
      <c r="C4" s="7" t="s">
        <v>17</v>
      </c>
      <c r="D4" s="48" t="s">
        <v>16</v>
      </c>
      <c r="E4" s="49"/>
      <c r="F4" s="49"/>
      <c r="G4" s="49"/>
      <c r="H4" s="49"/>
      <c r="I4" s="49"/>
      <c r="J4" s="49"/>
      <c r="K4" s="49"/>
      <c r="L4" s="49"/>
      <c r="M4" s="49"/>
      <c r="N4" s="49"/>
      <c r="O4" s="49"/>
      <c r="P4" s="49"/>
      <c r="Q4" s="50"/>
    </row>
    <row r="5" spans="2:17" ht="15" customHeight="1" x14ac:dyDescent="0.25">
      <c r="B5" s="5"/>
      <c r="C5" s="4" t="s">
        <v>39</v>
      </c>
      <c r="D5" s="15" t="s">
        <v>137</v>
      </c>
      <c r="E5" s="14" t="s">
        <v>138</v>
      </c>
      <c r="F5" s="13" t="s">
        <v>139</v>
      </c>
      <c r="G5" s="13" t="s">
        <v>296</v>
      </c>
      <c r="H5" s="13" t="s">
        <v>140</v>
      </c>
      <c r="I5" s="13" t="s">
        <v>297</v>
      </c>
      <c r="J5" s="13" t="s">
        <v>141</v>
      </c>
      <c r="K5" s="13" t="s">
        <v>138</v>
      </c>
      <c r="L5" s="13" t="s">
        <v>142</v>
      </c>
      <c r="M5" s="13" t="s">
        <v>296</v>
      </c>
      <c r="N5" s="13" t="s">
        <v>143</v>
      </c>
      <c r="O5" s="13" t="s">
        <v>298</v>
      </c>
      <c r="P5" s="13" t="s">
        <v>144</v>
      </c>
      <c r="Q5" s="16" t="s">
        <v>137</v>
      </c>
    </row>
    <row r="6" spans="2:17" ht="15" customHeight="1" x14ac:dyDescent="0.25">
      <c r="B6" s="5"/>
      <c r="C6" s="4" t="s">
        <v>72</v>
      </c>
      <c r="D6" s="46" t="s">
        <v>135</v>
      </c>
      <c r="E6" s="51"/>
      <c r="F6" s="51"/>
      <c r="G6" s="51"/>
      <c r="H6" s="51"/>
      <c r="I6" s="51"/>
      <c r="J6" s="51"/>
      <c r="K6" s="51"/>
      <c r="L6" s="51"/>
      <c r="M6" s="51"/>
      <c r="N6" s="51"/>
      <c r="O6" s="51"/>
      <c r="P6" s="51"/>
      <c r="Q6" s="17" t="s">
        <v>134</v>
      </c>
    </row>
    <row r="7" spans="2:17" ht="15" customHeight="1" x14ac:dyDescent="0.25">
      <c r="D7" s="43" t="s">
        <v>135</v>
      </c>
      <c r="E7" s="44"/>
      <c r="F7" s="44"/>
      <c r="G7" s="44"/>
      <c r="H7" s="44"/>
      <c r="I7" s="44"/>
      <c r="J7" s="44"/>
      <c r="K7" s="44"/>
      <c r="L7" s="44"/>
      <c r="M7" s="44"/>
      <c r="N7" s="44"/>
      <c r="O7" s="44"/>
      <c r="P7" s="44"/>
      <c r="Q7" s="45"/>
    </row>
    <row r="8" spans="2:17" ht="15" customHeight="1" x14ac:dyDescent="0.25">
      <c r="B8" s="5"/>
      <c r="C8" s="4" t="s">
        <v>73</v>
      </c>
      <c r="D8" s="15" t="s">
        <v>186</v>
      </c>
      <c r="E8" s="14" t="s">
        <v>186</v>
      </c>
      <c r="F8" s="13" t="s">
        <v>186</v>
      </c>
      <c r="G8" s="13" t="s">
        <v>186</v>
      </c>
      <c r="H8" s="13" t="s">
        <v>186</v>
      </c>
      <c r="I8" s="13" t="s">
        <v>186</v>
      </c>
      <c r="J8" s="13" t="s">
        <v>186</v>
      </c>
      <c r="K8" s="13" t="s">
        <v>186</v>
      </c>
      <c r="L8" s="13" t="s">
        <v>186</v>
      </c>
      <c r="M8" s="13" t="s">
        <v>186</v>
      </c>
      <c r="N8" s="13" t="s">
        <v>186</v>
      </c>
      <c r="O8" s="13" t="s">
        <v>186</v>
      </c>
      <c r="P8" s="13" t="s">
        <v>186</v>
      </c>
      <c r="Q8" s="16" t="s">
        <v>188</v>
      </c>
    </row>
    <row r="9" spans="2:17" ht="15" customHeight="1" x14ac:dyDescent="0.25">
      <c r="D9" s="46" t="s">
        <v>187</v>
      </c>
      <c r="E9" s="47"/>
      <c r="F9" s="47"/>
      <c r="G9" s="47"/>
      <c r="H9" s="47"/>
      <c r="I9" s="47"/>
      <c r="J9" s="47"/>
      <c r="K9" s="47"/>
      <c r="L9" s="47"/>
      <c r="M9" s="47"/>
      <c r="N9" s="47"/>
      <c r="O9" s="47"/>
      <c r="P9" s="47"/>
      <c r="Q9" s="17" t="s">
        <v>189</v>
      </c>
    </row>
    <row r="10" spans="2:17" ht="15" customHeight="1" thickBot="1" x14ac:dyDescent="0.3">
      <c r="D10" s="43" t="s">
        <v>40</v>
      </c>
      <c r="E10" s="44"/>
      <c r="F10" s="44"/>
      <c r="G10" s="44"/>
      <c r="H10" s="44"/>
      <c r="I10" s="44"/>
      <c r="J10" s="44"/>
      <c r="K10" s="44"/>
      <c r="L10" s="44"/>
      <c r="M10" s="44"/>
      <c r="N10" s="44"/>
      <c r="O10" s="44"/>
      <c r="P10" s="44"/>
      <c r="Q10" s="45"/>
    </row>
    <row r="11" spans="2:17" ht="15" customHeight="1" x14ac:dyDescent="0.25">
      <c r="B11" s="6" t="s">
        <v>74</v>
      </c>
      <c r="C11" s="7" t="s">
        <v>22</v>
      </c>
      <c r="D11" s="10" t="s">
        <v>145</v>
      </c>
      <c r="E11" s="11" t="s">
        <v>151</v>
      </c>
      <c r="F11" s="11" t="s">
        <v>146</v>
      </c>
      <c r="G11" s="11" t="s">
        <v>153</v>
      </c>
      <c r="H11" s="11" t="s">
        <v>147</v>
      </c>
      <c r="I11" s="11" t="s">
        <v>148</v>
      </c>
      <c r="J11" s="11" t="s">
        <v>147</v>
      </c>
      <c r="K11" s="11" t="s">
        <v>151</v>
      </c>
      <c r="L11" s="11" t="s">
        <v>149</v>
      </c>
      <c r="M11" s="11" t="s">
        <v>153</v>
      </c>
      <c r="N11" s="11" t="s">
        <v>147</v>
      </c>
      <c r="O11" s="11" t="s">
        <v>146</v>
      </c>
      <c r="P11" s="11" t="s">
        <v>150</v>
      </c>
      <c r="Q11" s="18" t="s">
        <v>145</v>
      </c>
    </row>
    <row r="12" spans="2:17" ht="15" customHeight="1" x14ac:dyDescent="0.25">
      <c r="B12" s="5"/>
      <c r="C12" s="4" t="s">
        <v>23</v>
      </c>
      <c r="D12" s="9" t="s">
        <v>145</v>
      </c>
      <c r="E12" s="42" t="s">
        <v>151</v>
      </c>
      <c r="F12" s="8" t="s">
        <v>152</v>
      </c>
      <c r="G12" s="8" t="s">
        <v>150</v>
      </c>
      <c r="H12" s="8" t="s">
        <v>146</v>
      </c>
      <c r="I12" s="8" t="s">
        <v>150</v>
      </c>
      <c r="J12" s="8" t="s">
        <v>148</v>
      </c>
      <c r="K12" s="8" t="s">
        <v>151</v>
      </c>
      <c r="L12" s="8" t="s">
        <v>152</v>
      </c>
      <c r="M12" s="8" t="s">
        <v>150</v>
      </c>
      <c r="N12" s="8" t="s">
        <v>145</v>
      </c>
      <c r="O12" s="8" t="s">
        <v>299</v>
      </c>
      <c r="P12" s="8" t="s">
        <v>153</v>
      </c>
      <c r="Q12" s="19" t="s">
        <v>145</v>
      </c>
    </row>
    <row r="13" spans="2:17" ht="15" customHeight="1" x14ac:dyDescent="0.25">
      <c r="B13" s="5"/>
      <c r="C13" s="4" t="s">
        <v>41</v>
      </c>
      <c r="D13" s="9" t="s">
        <v>154</v>
      </c>
      <c r="E13" s="42" t="s">
        <v>151</v>
      </c>
      <c r="F13" s="8" t="s">
        <v>155</v>
      </c>
      <c r="G13" s="8" t="s">
        <v>300</v>
      </c>
      <c r="H13" s="8" t="s">
        <v>156</v>
      </c>
      <c r="I13" s="8" t="s">
        <v>301</v>
      </c>
      <c r="J13" s="8" t="s">
        <v>157</v>
      </c>
      <c r="K13" s="8" t="s">
        <v>151</v>
      </c>
      <c r="L13" s="8" t="s">
        <v>158</v>
      </c>
      <c r="M13" s="8" t="s">
        <v>300</v>
      </c>
      <c r="N13" s="8" t="s">
        <v>159</v>
      </c>
      <c r="O13" s="8" t="s">
        <v>301</v>
      </c>
      <c r="P13" s="8" t="s">
        <v>159</v>
      </c>
      <c r="Q13" s="19" t="s">
        <v>154</v>
      </c>
    </row>
    <row r="14" spans="2:17" ht="15" customHeight="1" thickBot="1" x14ac:dyDescent="0.3">
      <c r="B14" s="5"/>
      <c r="C14" s="4" t="s">
        <v>42</v>
      </c>
      <c r="D14" s="9" t="s">
        <v>160</v>
      </c>
      <c r="E14" s="42" t="s">
        <v>151</v>
      </c>
      <c r="F14" s="8" t="s">
        <v>160</v>
      </c>
      <c r="G14" s="8" t="s">
        <v>160</v>
      </c>
      <c r="H14" s="8" t="s">
        <v>160</v>
      </c>
      <c r="I14" s="8" t="s">
        <v>160</v>
      </c>
      <c r="J14" s="8" t="s">
        <v>160</v>
      </c>
      <c r="K14" s="8" t="s">
        <v>151</v>
      </c>
      <c r="L14" s="8" t="s">
        <v>160</v>
      </c>
      <c r="M14" s="8" t="s">
        <v>160</v>
      </c>
      <c r="N14" s="8" t="s">
        <v>160</v>
      </c>
      <c r="O14" s="8" t="s">
        <v>160</v>
      </c>
      <c r="P14" s="8" t="s">
        <v>160</v>
      </c>
      <c r="Q14" s="19" t="s">
        <v>161</v>
      </c>
    </row>
    <row r="15" spans="2:17" ht="30" customHeight="1" x14ac:dyDescent="0.25">
      <c r="B15" s="6" t="s">
        <v>43</v>
      </c>
      <c r="C15" s="7" t="s">
        <v>44</v>
      </c>
      <c r="D15" s="10" t="s">
        <v>190</v>
      </c>
      <c r="E15" s="11" t="s">
        <v>191</v>
      </c>
      <c r="F15" s="11" t="s">
        <v>192</v>
      </c>
      <c r="G15" s="11" t="s">
        <v>302</v>
      </c>
      <c r="H15" s="11" t="s">
        <v>193</v>
      </c>
      <c r="I15" s="11" t="s">
        <v>302</v>
      </c>
      <c r="J15" s="11" t="s">
        <v>194</v>
      </c>
      <c r="K15" s="11" t="s">
        <v>191</v>
      </c>
      <c r="L15" s="11" t="s">
        <v>195</v>
      </c>
      <c r="M15" s="11" t="s">
        <v>302</v>
      </c>
      <c r="N15" s="11" t="s">
        <v>196</v>
      </c>
      <c r="O15" s="11" t="s">
        <v>302</v>
      </c>
      <c r="P15" s="11" t="s">
        <v>193</v>
      </c>
      <c r="Q15" s="18" t="s">
        <v>197</v>
      </c>
    </row>
    <row r="16" spans="2:17" ht="45" customHeight="1" thickBot="1" x14ac:dyDescent="0.3">
      <c r="B16" s="5"/>
      <c r="C16" s="4" t="s">
        <v>45</v>
      </c>
      <c r="D16" s="9" t="s">
        <v>162</v>
      </c>
      <c r="E16" s="42" t="s">
        <v>162</v>
      </c>
      <c r="F16" s="8" t="s">
        <v>198</v>
      </c>
      <c r="G16" s="8" t="s">
        <v>162</v>
      </c>
      <c r="H16" s="8" t="s">
        <v>199</v>
      </c>
      <c r="I16" s="8" t="s">
        <v>162</v>
      </c>
      <c r="J16" s="8" t="s">
        <v>200</v>
      </c>
      <c r="K16" s="8" t="s">
        <v>162</v>
      </c>
      <c r="L16" s="8" t="s">
        <v>201</v>
      </c>
      <c r="M16" s="8" t="s">
        <v>162</v>
      </c>
      <c r="N16" s="8" t="s">
        <v>202</v>
      </c>
      <c r="O16" s="8" t="s">
        <v>162</v>
      </c>
      <c r="P16" s="8" t="s">
        <v>199</v>
      </c>
      <c r="Q16" s="19" t="s">
        <v>162</v>
      </c>
    </row>
    <row r="17" spans="2:17" ht="30" customHeight="1" x14ac:dyDescent="0.25">
      <c r="B17" s="6" t="s">
        <v>62</v>
      </c>
      <c r="C17" s="7" t="s">
        <v>63</v>
      </c>
      <c r="D17" s="10" t="s">
        <v>203</v>
      </c>
      <c r="E17" s="11" t="s">
        <v>204</v>
      </c>
      <c r="F17" s="11" t="s">
        <v>205</v>
      </c>
      <c r="G17" s="11" t="s">
        <v>303</v>
      </c>
      <c r="H17" s="11" t="s">
        <v>206</v>
      </c>
      <c r="I17" s="11" t="s">
        <v>303</v>
      </c>
      <c r="J17" s="11" t="s">
        <v>207</v>
      </c>
      <c r="K17" s="11" t="s">
        <v>204</v>
      </c>
      <c r="L17" s="11" t="s">
        <v>208</v>
      </c>
      <c r="M17" s="11" t="s">
        <v>303</v>
      </c>
      <c r="N17" s="11" t="s">
        <v>209</v>
      </c>
      <c r="O17" s="11" t="s">
        <v>303</v>
      </c>
      <c r="P17" s="11" t="s">
        <v>206</v>
      </c>
      <c r="Q17" s="18" t="s">
        <v>210</v>
      </c>
    </row>
    <row r="18" spans="2:17" ht="30" customHeight="1" x14ac:dyDescent="0.25">
      <c r="B18" s="5"/>
      <c r="C18" s="4" t="s">
        <v>62</v>
      </c>
      <c r="D18" s="9" t="s">
        <v>211</v>
      </c>
      <c r="E18" s="42" t="s">
        <v>212</v>
      </c>
      <c r="F18" s="8" t="s">
        <v>213</v>
      </c>
      <c r="G18" s="8" t="s">
        <v>304</v>
      </c>
      <c r="H18" s="8" t="s">
        <v>214</v>
      </c>
      <c r="I18" s="8" t="s">
        <v>304</v>
      </c>
      <c r="J18" s="8" t="s">
        <v>215</v>
      </c>
      <c r="K18" s="8" t="s">
        <v>212</v>
      </c>
      <c r="L18" s="8" t="s">
        <v>216</v>
      </c>
      <c r="M18" s="8" t="s">
        <v>304</v>
      </c>
      <c r="N18" s="8" t="s">
        <v>217</v>
      </c>
      <c r="O18" s="8" t="s">
        <v>304</v>
      </c>
      <c r="P18" s="8" t="s">
        <v>214</v>
      </c>
      <c r="Q18" s="19" t="s">
        <v>218</v>
      </c>
    </row>
    <row r="19" spans="2:17" ht="30" customHeight="1" x14ac:dyDescent="0.25">
      <c r="B19" s="5"/>
      <c r="C19" s="4" t="s">
        <v>70</v>
      </c>
      <c r="D19" s="9" t="s">
        <v>163</v>
      </c>
      <c r="E19" s="42" t="s">
        <v>204</v>
      </c>
      <c r="F19" s="8" t="s">
        <v>163</v>
      </c>
      <c r="G19" s="8" t="s">
        <v>163</v>
      </c>
      <c r="H19" s="8" t="s">
        <v>163</v>
      </c>
      <c r="I19" s="8" t="s">
        <v>163</v>
      </c>
      <c r="J19" s="8" t="s">
        <v>163</v>
      </c>
      <c r="K19" s="8" t="s">
        <v>204</v>
      </c>
      <c r="L19" s="8" t="s">
        <v>163</v>
      </c>
      <c r="M19" s="8" t="s">
        <v>163</v>
      </c>
      <c r="N19" s="8" t="s">
        <v>163</v>
      </c>
      <c r="O19" s="8" t="s">
        <v>163</v>
      </c>
      <c r="P19" s="8" t="s">
        <v>163</v>
      </c>
      <c r="Q19" s="19" t="s">
        <v>163</v>
      </c>
    </row>
    <row r="20" spans="2:17" ht="30" customHeight="1" x14ac:dyDescent="0.25">
      <c r="B20" s="5"/>
      <c r="C20" s="4" t="s">
        <v>71</v>
      </c>
      <c r="D20" s="9" t="s">
        <v>211</v>
      </c>
      <c r="E20" s="42" t="s">
        <v>163</v>
      </c>
      <c r="F20" s="8" t="s">
        <v>213</v>
      </c>
      <c r="G20" s="8" t="s">
        <v>304</v>
      </c>
      <c r="H20" s="8" t="s">
        <v>214</v>
      </c>
      <c r="I20" s="8" t="s">
        <v>304</v>
      </c>
      <c r="J20" s="8" t="s">
        <v>215</v>
      </c>
      <c r="K20" s="8" t="s">
        <v>163</v>
      </c>
      <c r="L20" s="8" t="s">
        <v>216</v>
      </c>
      <c r="M20" s="8" t="s">
        <v>304</v>
      </c>
      <c r="N20" s="8" t="s">
        <v>217</v>
      </c>
      <c r="O20" s="8" t="s">
        <v>304</v>
      </c>
      <c r="P20" s="8" t="s">
        <v>214</v>
      </c>
      <c r="Q20" s="19" t="s">
        <v>218</v>
      </c>
    </row>
    <row r="21" spans="2:17" ht="30" customHeight="1" x14ac:dyDescent="0.25">
      <c r="D21" s="46" t="s">
        <v>305</v>
      </c>
      <c r="E21" s="47"/>
      <c r="F21" s="47"/>
      <c r="G21" s="47"/>
      <c r="H21" s="47"/>
      <c r="I21" s="47"/>
      <c r="J21" s="47"/>
      <c r="K21" s="47"/>
      <c r="L21" s="47"/>
      <c r="M21" s="47"/>
      <c r="N21" s="47"/>
      <c r="O21" s="47"/>
      <c r="P21" s="47"/>
      <c r="Q21" s="17" t="s">
        <v>219</v>
      </c>
    </row>
    <row r="22" spans="2:17" ht="30" customHeight="1" thickBot="1" x14ac:dyDescent="0.3">
      <c r="D22" s="43" t="s">
        <v>306</v>
      </c>
      <c r="E22" s="44"/>
      <c r="F22" s="44"/>
      <c r="G22" s="44"/>
      <c r="H22" s="44"/>
      <c r="I22" s="44"/>
      <c r="J22" s="44"/>
      <c r="K22" s="44"/>
      <c r="L22" s="44"/>
      <c r="M22" s="44"/>
      <c r="N22" s="44"/>
      <c r="O22" s="44"/>
      <c r="P22" s="44"/>
      <c r="Q22" s="45"/>
    </row>
    <row r="23" spans="2:17" ht="30" customHeight="1" x14ac:dyDescent="0.25">
      <c r="B23" s="6" t="s">
        <v>80</v>
      </c>
      <c r="C23" s="7" t="s">
        <v>81</v>
      </c>
      <c r="D23" s="10" t="s">
        <v>220</v>
      </c>
      <c r="E23" s="11" t="s">
        <v>221</v>
      </c>
      <c r="F23" s="11" t="s">
        <v>222</v>
      </c>
      <c r="G23" s="11" t="s">
        <v>307</v>
      </c>
      <c r="H23" s="11" t="s">
        <v>223</v>
      </c>
      <c r="I23" s="11" t="s">
        <v>307</v>
      </c>
      <c r="J23" s="11" t="s">
        <v>224</v>
      </c>
      <c r="K23" s="11" t="s">
        <v>221</v>
      </c>
      <c r="L23" s="11" t="s">
        <v>222</v>
      </c>
      <c r="M23" s="11" t="s">
        <v>307</v>
      </c>
      <c r="N23" s="11" t="s">
        <v>225</v>
      </c>
      <c r="O23" s="11" t="s">
        <v>307</v>
      </c>
      <c r="P23" s="11" t="s">
        <v>223</v>
      </c>
      <c r="Q23" s="18" t="s">
        <v>226</v>
      </c>
    </row>
    <row r="24" spans="2:17" ht="30" customHeight="1" x14ac:dyDescent="0.25">
      <c r="D24" s="46" t="s">
        <v>308</v>
      </c>
      <c r="E24" s="47"/>
      <c r="F24" s="47"/>
      <c r="G24" s="47"/>
      <c r="H24" s="47"/>
      <c r="I24" s="47"/>
      <c r="J24" s="47"/>
      <c r="K24" s="47"/>
      <c r="L24" s="47"/>
      <c r="M24" s="47"/>
      <c r="N24" s="47"/>
      <c r="O24" s="47"/>
      <c r="P24" s="47"/>
      <c r="Q24" s="17" t="s">
        <v>227</v>
      </c>
    </row>
    <row r="25" spans="2:17" ht="30" customHeight="1" x14ac:dyDescent="0.25">
      <c r="D25" s="43" t="s">
        <v>309</v>
      </c>
      <c r="E25" s="44"/>
      <c r="F25" s="44"/>
      <c r="G25" s="44"/>
      <c r="H25" s="44"/>
      <c r="I25" s="44"/>
      <c r="J25" s="44"/>
      <c r="K25" s="44"/>
      <c r="L25" s="44"/>
      <c r="M25" s="44"/>
      <c r="N25" s="44"/>
      <c r="O25" s="44"/>
      <c r="P25" s="44"/>
      <c r="Q25" s="45"/>
    </row>
    <row r="26" spans="2:17" ht="15" customHeight="1" x14ac:dyDescent="0.25">
      <c r="B26" s="5"/>
      <c r="C26" s="4" t="s">
        <v>83</v>
      </c>
      <c r="D26" s="15" t="s">
        <v>164</v>
      </c>
      <c r="E26" s="14" t="s">
        <v>165</v>
      </c>
      <c r="F26" s="13" t="s">
        <v>166</v>
      </c>
      <c r="G26" s="13" t="s">
        <v>310</v>
      </c>
      <c r="H26" s="13" t="s">
        <v>167</v>
      </c>
      <c r="I26" s="13" t="s">
        <v>310</v>
      </c>
      <c r="J26" s="13" t="s">
        <v>168</v>
      </c>
      <c r="K26" s="13" t="s">
        <v>165</v>
      </c>
      <c r="L26" s="13" t="s">
        <v>169</v>
      </c>
      <c r="M26" s="13" t="s">
        <v>310</v>
      </c>
      <c r="N26" s="13" t="s">
        <v>170</v>
      </c>
      <c r="O26" s="13" t="s">
        <v>310</v>
      </c>
      <c r="P26" s="13" t="s">
        <v>167</v>
      </c>
      <c r="Q26" s="16" t="s">
        <v>164</v>
      </c>
    </row>
    <row r="27" spans="2:17" ht="15" customHeight="1" x14ac:dyDescent="0.25">
      <c r="D27" s="46" t="s">
        <v>311</v>
      </c>
      <c r="E27" s="47"/>
      <c r="F27" s="47"/>
      <c r="G27" s="47"/>
      <c r="H27" s="47"/>
      <c r="I27" s="47"/>
      <c r="J27" s="47"/>
      <c r="K27" s="47"/>
      <c r="L27" s="47"/>
      <c r="M27" s="47"/>
      <c r="N27" s="47"/>
      <c r="O27" s="47"/>
      <c r="P27" s="47"/>
      <c r="Q27" s="17" t="s">
        <v>136</v>
      </c>
    </row>
    <row r="28" spans="2:17" ht="15" customHeight="1" thickBot="1" x14ac:dyDescent="0.3">
      <c r="D28" s="43" t="s">
        <v>312</v>
      </c>
      <c r="E28" s="44"/>
      <c r="F28" s="44"/>
      <c r="G28" s="44"/>
      <c r="H28" s="44"/>
      <c r="I28" s="44"/>
      <c r="J28" s="44"/>
      <c r="K28" s="44"/>
      <c r="L28" s="44"/>
      <c r="M28" s="44"/>
      <c r="N28" s="44"/>
      <c r="O28" s="44"/>
      <c r="P28" s="44"/>
      <c r="Q28" s="45"/>
    </row>
    <row r="29" spans="2:17" ht="15" customHeight="1" x14ac:dyDescent="0.25">
      <c r="B29" s="6" t="s">
        <v>84</v>
      </c>
      <c r="C29" s="7" t="s">
        <v>85</v>
      </c>
      <c r="D29" s="10" t="s">
        <v>289</v>
      </c>
      <c r="E29" s="11" t="s">
        <v>171</v>
      </c>
      <c r="F29" s="11" t="s">
        <v>184</v>
      </c>
      <c r="G29" s="11" t="s">
        <v>313</v>
      </c>
      <c r="H29" s="11" t="s">
        <v>286</v>
      </c>
      <c r="I29" s="11" t="s">
        <v>313</v>
      </c>
      <c r="J29" s="11" t="s">
        <v>287</v>
      </c>
      <c r="K29" s="11" t="s">
        <v>171</v>
      </c>
      <c r="L29" s="11" t="s">
        <v>185</v>
      </c>
      <c r="M29" s="11" t="s">
        <v>313</v>
      </c>
      <c r="N29" s="11" t="s">
        <v>288</v>
      </c>
      <c r="O29" s="11" t="s">
        <v>313</v>
      </c>
      <c r="P29" s="11" t="s">
        <v>290</v>
      </c>
      <c r="Q29" s="18" t="s">
        <v>289</v>
      </c>
    </row>
    <row r="30" spans="2:17" ht="15" customHeight="1" x14ac:dyDescent="0.25">
      <c r="D30" s="46" t="s">
        <v>314</v>
      </c>
      <c r="E30" s="47"/>
      <c r="F30" s="47"/>
      <c r="G30" s="47"/>
      <c r="H30" s="47"/>
      <c r="I30" s="47"/>
      <c r="J30" s="47"/>
      <c r="K30" s="47"/>
      <c r="L30" s="47"/>
      <c r="M30" s="47"/>
      <c r="N30" s="47"/>
      <c r="O30" s="47"/>
      <c r="P30" s="47"/>
      <c r="Q30" s="17" t="s">
        <v>291</v>
      </c>
    </row>
    <row r="31" spans="2:17" ht="15" customHeight="1" x14ac:dyDescent="0.25">
      <c r="D31" s="43" t="s">
        <v>315</v>
      </c>
      <c r="E31" s="44"/>
      <c r="F31" s="44"/>
      <c r="G31" s="44"/>
      <c r="H31" s="44"/>
      <c r="I31" s="44"/>
      <c r="J31" s="44"/>
      <c r="K31" s="44"/>
      <c r="L31" s="44"/>
      <c r="M31" s="44"/>
      <c r="N31" s="44"/>
      <c r="O31" s="44"/>
      <c r="P31" s="44"/>
      <c r="Q31" s="45"/>
    </row>
    <row r="32" spans="2:17" ht="45" customHeight="1" x14ac:dyDescent="0.25">
      <c r="B32" s="5"/>
      <c r="C32" s="4" t="s">
        <v>86</v>
      </c>
      <c r="D32" s="15" t="s">
        <v>172</v>
      </c>
      <c r="E32" s="14" t="s">
        <v>246</v>
      </c>
      <c r="F32" s="13" t="s">
        <v>228</v>
      </c>
      <c r="G32" s="13" t="s">
        <v>172</v>
      </c>
      <c r="H32" s="13" t="s">
        <v>229</v>
      </c>
      <c r="I32" s="13" t="s">
        <v>172</v>
      </c>
      <c r="J32" s="13" t="s">
        <v>172</v>
      </c>
      <c r="K32" s="13" t="s">
        <v>246</v>
      </c>
      <c r="L32" s="13" t="s">
        <v>230</v>
      </c>
      <c r="M32" s="13" t="s">
        <v>172</v>
      </c>
      <c r="N32" s="13" t="s">
        <v>231</v>
      </c>
      <c r="O32" s="13" t="s">
        <v>172</v>
      </c>
      <c r="P32" s="13" t="s">
        <v>229</v>
      </c>
      <c r="Q32" s="16" t="s">
        <v>172</v>
      </c>
    </row>
    <row r="33" spans="2:17" ht="30" customHeight="1" x14ac:dyDescent="0.25">
      <c r="D33" s="46" t="s">
        <v>247</v>
      </c>
      <c r="E33" s="47"/>
      <c r="F33" s="47"/>
      <c r="G33" s="47"/>
      <c r="H33" s="47"/>
      <c r="I33" s="47"/>
      <c r="J33" s="47"/>
      <c r="K33" s="47"/>
      <c r="L33" s="47"/>
      <c r="M33" s="47"/>
      <c r="N33" s="47"/>
      <c r="O33" s="47"/>
      <c r="P33" s="47"/>
      <c r="Q33" s="17" t="s">
        <v>182</v>
      </c>
    </row>
    <row r="34" spans="2:17" ht="30" customHeight="1" x14ac:dyDescent="0.25">
      <c r="D34" s="43" t="s">
        <v>248</v>
      </c>
      <c r="E34" s="44"/>
      <c r="F34" s="44"/>
      <c r="G34" s="44"/>
      <c r="H34" s="44"/>
      <c r="I34" s="44"/>
      <c r="J34" s="44"/>
      <c r="K34" s="44"/>
      <c r="L34" s="44"/>
      <c r="M34" s="44"/>
      <c r="N34" s="44"/>
      <c r="O34" s="44"/>
      <c r="P34" s="44"/>
      <c r="Q34" s="45"/>
    </row>
    <row r="35" spans="2:17" ht="45" customHeight="1" x14ac:dyDescent="0.25">
      <c r="B35" s="5"/>
      <c r="C35" s="4" t="s">
        <v>87</v>
      </c>
      <c r="D35" s="15" t="s">
        <v>232</v>
      </c>
      <c r="E35" s="14" t="s">
        <v>271</v>
      </c>
      <c r="F35" s="13" t="s">
        <v>233</v>
      </c>
      <c r="G35" s="13" t="s">
        <v>172</v>
      </c>
      <c r="H35" s="13" t="s">
        <v>229</v>
      </c>
      <c r="I35" s="13" t="s">
        <v>172</v>
      </c>
      <c r="J35" s="13" t="s">
        <v>234</v>
      </c>
      <c r="K35" s="13" t="s">
        <v>271</v>
      </c>
      <c r="L35" s="13" t="s">
        <v>235</v>
      </c>
      <c r="M35" s="13" t="s">
        <v>172</v>
      </c>
      <c r="N35" s="13" t="s">
        <v>236</v>
      </c>
      <c r="O35" s="13" t="s">
        <v>172</v>
      </c>
      <c r="P35" s="13" t="s">
        <v>229</v>
      </c>
      <c r="Q35" s="16" t="s">
        <v>237</v>
      </c>
    </row>
    <row r="36" spans="2:17" ht="30" customHeight="1" x14ac:dyDescent="0.25">
      <c r="D36" s="46" t="s">
        <v>272</v>
      </c>
      <c r="E36" s="47"/>
      <c r="F36" s="47"/>
      <c r="G36" s="47"/>
      <c r="H36" s="47"/>
      <c r="I36" s="47"/>
      <c r="J36" s="47"/>
      <c r="K36" s="47"/>
      <c r="L36" s="47"/>
      <c r="M36" s="47"/>
      <c r="N36" s="47"/>
      <c r="O36" s="47"/>
      <c r="P36" s="47"/>
      <c r="Q36" s="17" t="s">
        <v>238</v>
      </c>
    </row>
    <row r="37" spans="2:17" ht="30" customHeight="1" x14ac:dyDescent="0.25">
      <c r="D37" s="43" t="s">
        <v>273</v>
      </c>
      <c r="E37" s="44"/>
      <c r="F37" s="44"/>
      <c r="G37" s="44"/>
      <c r="H37" s="44"/>
      <c r="I37" s="44"/>
      <c r="J37" s="44"/>
      <c r="K37" s="44"/>
      <c r="L37" s="44"/>
      <c r="M37" s="44"/>
      <c r="N37" s="44"/>
      <c r="O37" s="44"/>
      <c r="P37" s="44"/>
      <c r="Q37" s="45"/>
    </row>
    <row r="38" spans="2:17" ht="45" customHeight="1" x14ac:dyDescent="0.25">
      <c r="B38" s="5"/>
      <c r="C38" s="4" t="s">
        <v>88</v>
      </c>
      <c r="D38" s="15" t="s">
        <v>239</v>
      </c>
      <c r="E38" s="14" t="s">
        <v>274</v>
      </c>
      <c r="F38" s="13" t="s">
        <v>240</v>
      </c>
      <c r="G38" s="13" t="s">
        <v>172</v>
      </c>
      <c r="H38" s="13" t="s">
        <v>229</v>
      </c>
      <c r="I38" s="13" t="s">
        <v>172</v>
      </c>
      <c r="J38" s="13" t="s">
        <v>241</v>
      </c>
      <c r="K38" s="13" t="s">
        <v>274</v>
      </c>
      <c r="L38" s="13" t="s">
        <v>235</v>
      </c>
      <c r="M38" s="13" t="s">
        <v>172</v>
      </c>
      <c r="N38" s="13" t="s">
        <v>242</v>
      </c>
      <c r="O38" s="13" t="s">
        <v>172</v>
      </c>
      <c r="P38" s="13" t="s">
        <v>229</v>
      </c>
      <c r="Q38" s="16" t="s">
        <v>243</v>
      </c>
    </row>
    <row r="39" spans="2:17" ht="30" customHeight="1" x14ac:dyDescent="0.25">
      <c r="D39" s="46" t="s">
        <v>275</v>
      </c>
      <c r="E39" s="47"/>
      <c r="F39" s="47"/>
      <c r="G39" s="47"/>
      <c r="H39" s="47"/>
      <c r="I39" s="47"/>
      <c r="J39" s="47"/>
      <c r="K39" s="47"/>
      <c r="L39" s="47"/>
      <c r="M39" s="47"/>
      <c r="N39" s="47"/>
      <c r="O39" s="47"/>
      <c r="P39" s="47"/>
      <c r="Q39" s="17" t="s">
        <v>244</v>
      </c>
    </row>
    <row r="40" spans="2:17" ht="30" customHeight="1" x14ac:dyDescent="0.25">
      <c r="D40" s="43" t="s">
        <v>276</v>
      </c>
      <c r="E40" s="44"/>
      <c r="F40" s="44"/>
      <c r="G40" s="44"/>
      <c r="H40" s="44"/>
      <c r="I40" s="44"/>
      <c r="J40" s="44"/>
      <c r="K40" s="44"/>
      <c r="L40" s="44"/>
      <c r="M40" s="44"/>
      <c r="N40" s="44"/>
      <c r="O40" s="44"/>
      <c r="P40" s="44"/>
      <c r="Q40" s="45"/>
    </row>
    <row r="41" spans="2:17" ht="45" customHeight="1" x14ac:dyDescent="0.25">
      <c r="B41" s="5"/>
      <c r="C41" s="4" t="s">
        <v>89</v>
      </c>
      <c r="D41" s="15" t="s">
        <v>249</v>
      </c>
      <c r="E41" s="14" t="s">
        <v>277</v>
      </c>
      <c r="F41" s="13" t="s">
        <v>172</v>
      </c>
      <c r="G41" s="13" t="s">
        <v>172</v>
      </c>
      <c r="H41" s="13" t="s">
        <v>172</v>
      </c>
      <c r="I41" s="13" t="s">
        <v>172</v>
      </c>
      <c r="J41" s="13" t="s">
        <v>172</v>
      </c>
      <c r="K41" s="13" t="s">
        <v>277</v>
      </c>
      <c r="L41" s="13" t="s">
        <v>172</v>
      </c>
      <c r="M41" s="13" t="s">
        <v>172</v>
      </c>
      <c r="N41" s="13" t="s">
        <v>172</v>
      </c>
      <c r="O41" s="13" t="s">
        <v>172</v>
      </c>
      <c r="P41" s="13" t="s">
        <v>172</v>
      </c>
      <c r="Q41" s="16" t="s">
        <v>250</v>
      </c>
    </row>
    <row r="42" spans="2:17" ht="30" customHeight="1" x14ac:dyDescent="0.25">
      <c r="D42" s="46" t="s">
        <v>278</v>
      </c>
      <c r="E42" s="47"/>
      <c r="F42" s="47"/>
      <c r="G42" s="47"/>
      <c r="H42" s="47"/>
      <c r="I42" s="47"/>
      <c r="J42" s="47"/>
      <c r="K42" s="47"/>
      <c r="L42" s="47"/>
      <c r="M42" s="47"/>
      <c r="N42" s="47"/>
      <c r="O42" s="47"/>
      <c r="P42" s="47"/>
      <c r="Q42" s="17" t="s">
        <v>251</v>
      </c>
    </row>
    <row r="43" spans="2:17" ht="30" customHeight="1" x14ac:dyDescent="0.25">
      <c r="D43" s="43" t="s">
        <v>279</v>
      </c>
      <c r="E43" s="44"/>
      <c r="F43" s="44"/>
      <c r="G43" s="44"/>
      <c r="H43" s="44"/>
      <c r="I43" s="44"/>
      <c r="J43" s="44"/>
      <c r="K43" s="44"/>
      <c r="L43" s="44"/>
      <c r="M43" s="44"/>
      <c r="N43" s="44"/>
      <c r="O43" s="44"/>
      <c r="P43" s="44"/>
      <c r="Q43" s="45"/>
    </row>
    <row r="44" spans="2:17" ht="45" customHeight="1" x14ac:dyDescent="0.25">
      <c r="B44" s="5"/>
      <c r="C44" s="4" t="s">
        <v>90</v>
      </c>
      <c r="D44" s="15" t="s">
        <v>172</v>
      </c>
      <c r="E44" s="14" t="s">
        <v>280</v>
      </c>
      <c r="F44" s="13" t="s">
        <v>172</v>
      </c>
      <c r="G44" s="13" t="s">
        <v>172</v>
      </c>
      <c r="H44" s="13" t="s">
        <v>172</v>
      </c>
      <c r="I44" s="13" t="s">
        <v>172</v>
      </c>
      <c r="J44" s="13" t="s">
        <v>172</v>
      </c>
      <c r="K44" s="13" t="s">
        <v>280</v>
      </c>
      <c r="L44" s="13" t="s">
        <v>172</v>
      </c>
      <c r="M44" s="13" t="s">
        <v>172</v>
      </c>
      <c r="N44" s="13" t="s">
        <v>172</v>
      </c>
      <c r="O44" s="13" t="s">
        <v>172</v>
      </c>
      <c r="P44" s="13" t="s">
        <v>172</v>
      </c>
      <c r="Q44" s="16" t="s">
        <v>172</v>
      </c>
    </row>
    <row r="45" spans="2:17" ht="30" customHeight="1" x14ac:dyDescent="0.25">
      <c r="D45" s="46" t="s">
        <v>281</v>
      </c>
      <c r="E45" s="47"/>
      <c r="F45" s="47"/>
      <c r="G45" s="47"/>
      <c r="H45" s="47"/>
      <c r="I45" s="47"/>
      <c r="J45" s="47"/>
      <c r="K45" s="47"/>
      <c r="L45" s="47"/>
      <c r="M45" s="47"/>
      <c r="N45" s="47"/>
      <c r="O45" s="47"/>
      <c r="P45" s="47"/>
      <c r="Q45" s="17" t="s">
        <v>182</v>
      </c>
    </row>
    <row r="46" spans="2:17" ht="30" customHeight="1" x14ac:dyDescent="0.25">
      <c r="D46" s="43" t="s">
        <v>282</v>
      </c>
      <c r="E46" s="44"/>
      <c r="F46" s="44"/>
      <c r="G46" s="44"/>
      <c r="H46" s="44"/>
      <c r="I46" s="44"/>
      <c r="J46" s="44"/>
      <c r="K46" s="44"/>
      <c r="L46" s="44"/>
      <c r="M46" s="44"/>
      <c r="N46" s="44"/>
      <c r="O46" s="44"/>
      <c r="P46" s="44"/>
      <c r="Q46" s="45"/>
    </row>
    <row r="47" spans="2:17" ht="45" customHeight="1" x14ac:dyDescent="0.25">
      <c r="B47" s="5"/>
      <c r="C47" s="4" t="s">
        <v>91</v>
      </c>
      <c r="D47" s="15" t="s">
        <v>252</v>
      </c>
      <c r="E47" s="14" t="s">
        <v>283</v>
      </c>
      <c r="F47" s="13" t="s">
        <v>245</v>
      </c>
      <c r="G47" s="13" t="s">
        <v>172</v>
      </c>
      <c r="H47" s="13" t="s">
        <v>172</v>
      </c>
      <c r="I47" s="13" t="s">
        <v>172</v>
      </c>
      <c r="J47" s="13" t="s">
        <v>172</v>
      </c>
      <c r="K47" s="13" t="s">
        <v>283</v>
      </c>
      <c r="L47" s="13" t="s">
        <v>172</v>
      </c>
      <c r="M47" s="13" t="s">
        <v>172</v>
      </c>
      <c r="N47" s="13" t="s">
        <v>172</v>
      </c>
      <c r="O47" s="13" t="s">
        <v>172</v>
      </c>
      <c r="P47" s="13" t="s">
        <v>172</v>
      </c>
      <c r="Q47" s="16" t="s">
        <v>253</v>
      </c>
    </row>
    <row r="48" spans="2:17" ht="30" customHeight="1" x14ac:dyDescent="0.25">
      <c r="D48" s="46" t="s">
        <v>284</v>
      </c>
      <c r="E48" s="47"/>
      <c r="F48" s="47"/>
      <c r="G48" s="47"/>
      <c r="H48" s="47"/>
      <c r="I48" s="47"/>
      <c r="J48" s="47"/>
      <c r="K48" s="47"/>
      <c r="L48" s="47"/>
      <c r="M48" s="47"/>
      <c r="N48" s="47"/>
      <c r="O48" s="47"/>
      <c r="P48" s="47"/>
      <c r="Q48" s="17" t="s">
        <v>254</v>
      </c>
    </row>
    <row r="49" spans="2:17" ht="30" customHeight="1" x14ac:dyDescent="0.25">
      <c r="D49" s="43" t="s">
        <v>285</v>
      </c>
      <c r="E49" s="44"/>
      <c r="F49" s="44"/>
      <c r="G49" s="44"/>
      <c r="H49" s="44"/>
      <c r="I49" s="44"/>
      <c r="J49" s="44"/>
      <c r="K49" s="44"/>
      <c r="L49" s="44"/>
      <c r="M49" s="44"/>
      <c r="N49" s="44"/>
      <c r="O49" s="44"/>
      <c r="P49" s="44"/>
      <c r="Q49" s="45"/>
    </row>
    <row r="50" spans="2:17" ht="45" customHeight="1" x14ac:dyDescent="0.25">
      <c r="B50" s="5"/>
      <c r="C50" s="4" t="s">
        <v>92</v>
      </c>
      <c r="D50" s="15" t="s">
        <v>181</v>
      </c>
      <c r="E50" s="14" t="s">
        <v>181</v>
      </c>
      <c r="F50" s="13" t="s">
        <v>255</v>
      </c>
      <c r="G50" s="13" t="s">
        <v>181</v>
      </c>
      <c r="H50" s="13" t="s">
        <v>181</v>
      </c>
      <c r="I50" s="13" t="s">
        <v>181</v>
      </c>
      <c r="J50" s="13" t="s">
        <v>181</v>
      </c>
      <c r="K50" s="13" t="s">
        <v>181</v>
      </c>
      <c r="L50" s="13" t="s">
        <v>256</v>
      </c>
      <c r="M50" s="13" t="s">
        <v>181</v>
      </c>
      <c r="N50" s="13" t="s">
        <v>181</v>
      </c>
      <c r="O50" s="13" t="s">
        <v>181</v>
      </c>
      <c r="P50" s="13" t="s">
        <v>181</v>
      </c>
      <c r="Q50" s="16" t="s">
        <v>181</v>
      </c>
    </row>
    <row r="51" spans="2:17" ht="30" customHeight="1" x14ac:dyDescent="0.25">
      <c r="D51" s="46" t="s">
        <v>257</v>
      </c>
      <c r="E51" s="47"/>
      <c r="F51" s="47"/>
      <c r="G51" s="47"/>
      <c r="H51" s="47"/>
      <c r="I51" s="47"/>
      <c r="J51" s="47"/>
      <c r="K51" s="47"/>
      <c r="L51" s="47"/>
      <c r="M51" s="47"/>
      <c r="N51" s="47"/>
      <c r="O51" s="47"/>
      <c r="P51" s="47"/>
      <c r="Q51" s="17" t="s">
        <v>183</v>
      </c>
    </row>
    <row r="52" spans="2:17" ht="30" customHeight="1" x14ac:dyDescent="0.25">
      <c r="D52" s="43" t="s">
        <v>258</v>
      </c>
      <c r="E52" s="44"/>
      <c r="F52" s="44"/>
      <c r="G52" s="44"/>
      <c r="H52" s="44"/>
      <c r="I52" s="44"/>
      <c r="J52" s="44"/>
      <c r="K52" s="44"/>
      <c r="L52" s="44"/>
      <c r="M52" s="44"/>
      <c r="N52" s="44"/>
      <c r="O52" s="44"/>
      <c r="P52" s="44"/>
      <c r="Q52" s="45"/>
    </row>
    <row r="53" spans="2:17" ht="45" customHeight="1" x14ac:dyDescent="0.25">
      <c r="B53" s="5"/>
      <c r="C53" s="4" t="s">
        <v>174</v>
      </c>
      <c r="D53" s="15" t="s">
        <v>181</v>
      </c>
      <c r="E53" s="14" t="s">
        <v>181</v>
      </c>
      <c r="F53" s="13" t="s">
        <v>259</v>
      </c>
      <c r="G53" s="13" t="s">
        <v>181</v>
      </c>
      <c r="H53" s="13" t="s">
        <v>181</v>
      </c>
      <c r="I53" s="13" t="s">
        <v>181</v>
      </c>
      <c r="J53" s="13" t="s">
        <v>181</v>
      </c>
      <c r="K53" s="13" t="s">
        <v>181</v>
      </c>
      <c r="L53" s="13" t="s">
        <v>260</v>
      </c>
      <c r="M53" s="13" t="s">
        <v>181</v>
      </c>
      <c r="N53" s="13" t="s">
        <v>181</v>
      </c>
      <c r="O53" s="13" t="s">
        <v>181</v>
      </c>
      <c r="P53" s="13" t="s">
        <v>181</v>
      </c>
      <c r="Q53" s="16" t="s">
        <v>181</v>
      </c>
    </row>
    <row r="54" spans="2:17" ht="30" customHeight="1" x14ac:dyDescent="0.25">
      <c r="D54" s="46" t="s">
        <v>261</v>
      </c>
      <c r="E54" s="47"/>
      <c r="F54" s="47"/>
      <c r="G54" s="47"/>
      <c r="H54" s="47"/>
      <c r="I54" s="47"/>
      <c r="J54" s="47"/>
      <c r="K54" s="47"/>
      <c r="L54" s="47"/>
      <c r="M54" s="47"/>
      <c r="N54" s="47"/>
      <c r="O54" s="47"/>
      <c r="P54" s="47"/>
      <c r="Q54" s="17" t="s">
        <v>183</v>
      </c>
    </row>
    <row r="55" spans="2:17" ht="30" customHeight="1" x14ac:dyDescent="0.25">
      <c r="D55" s="43" t="s">
        <v>262</v>
      </c>
      <c r="E55" s="44"/>
      <c r="F55" s="44"/>
      <c r="G55" s="44"/>
      <c r="H55" s="44"/>
      <c r="I55" s="44"/>
      <c r="J55" s="44"/>
      <c r="K55" s="44"/>
      <c r="L55" s="44"/>
      <c r="M55" s="44"/>
      <c r="N55" s="44"/>
      <c r="O55" s="44"/>
      <c r="P55" s="44"/>
      <c r="Q55" s="45"/>
    </row>
    <row r="56" spans="2:17" ht="45" customHeight="1" x14ac:dyDescent="0.25">
      <c r="B56" s="5"/>
      <c r="C56" s="4" t="s">
        <v>175</v>
      </c>
      <c r="D56" s="15" t="s">
        <v>181</v>
      </c>
      <c r="E56" s="14" t="s">
        <v>181</v>
      </c>
      <c r="F56" s="13" t="s">
        <v>263</v>
      </c>
      <c r="G56" s="13" t="s">
        <v>181</v>
      </c>
      <c r="H56" s="13" t="s">
        <v>181</v>
      </c>
      <c r="I56" s="13" t="s">
        <v>181</v>
      </c>
      <c r="J56" s="13" t="s">
        <v>181</v>
      </c>
      <c r="K56" s="13" t="s">
        <v>181</v>
      </c>
      <c r="L56" s="13" t="s">
        <v>264</v>
      </c>
      <c r="M56" s="13" t="s">
        <v>181</v>
      </c>
      <c r="N56" s="13" t="s">
        <v>181</v>
      </c>
      <c r="O56" s="13" t="s">
        <v>181</v>
      </c>
      <c r="P56" s="13" t="s">
        <v>181</v>
      </c>
      <c r="Q56" s="16" t="s">
        <v>181</v>
      </c>
    </row>
    <row r="57" spans="2:17" ht="30" customHeight="1" x14ac:dyDescent="0.25">
      <c r="D57" s="46" t="s">
        <v>265</v>
      </c>
      <c r="E57" s="47"/>
      <c r="F57" s="47"/>
      <c r="G57" s="47"/>
      <c r="H57" s="47"/>
      <c r="I57" s="47"/>
      <c r="J57" s="47"/>
      <c r="K57" s="47"/>
      <c r="L57" s="47"/>
      <c r="M57" s="47"/>
      <c r="N57" s="47"/>
      <c r="O57" s="47"/>
      <c r="P57" s="47"/>
      <c r="Q57" s="17" t="s">
        <v>183</v>
      </c>
    </row>
    <row r="58" spans="2:17" ht="30" customHeight="1" x14ac:dyDescent="0.25">
      <c r="D58" s="43" t="s">
        <v>266</v>
      </c>
      <c r="E58" s="44"/>
      <c r="F58" s="44"/>
      <c r="G58" s="44"/>
      <c r="H58" s="44"/>
      <c r="I58" s="44"/>
      <c r="J58" s="44"/>
      <c r="K58" s="44"/>
      <c r="L58" s="44"/>
      <c r="M58" s="44"/>
      <c r="N58" s="44"/>
      <c r="O58" s="44"/>
      <c r="P58" s="44"/>
      <c r="Q58" s="45"/>
    </row>
    <row r="59" spans="2:17" ht="45" customHeight="1" x14ac:dyDescent="0.25">
      <c r="B59" s="5"/>
      <c r="C59" s="4" t="s">
        <v>176</v>
      </c>
      <c r="D59" s="15" t="s">
        <v>181</v>
      </c>
      <c r="E59" s="14" t="s">
        <v>181</v>
      </c>
      <c r="F59" s="13" t="s">
        <v>267</v>
      </c>
      <c r="G59" s="13" t="s">
        <v>181</v>
      </c>
      <c r="H59" s="13" t="s">
        <v>181</v>
      </c>
      <c r="I59" s="13" t="s">
        <v>181</v>
      </c>
      <c r="J59" s="13" t="s">
        <v>181</v>
      </c>
      <c r="K59" s="13" t="s">
        <v>181</v>
      </c>
      <c r="L59" s="13" t="s">
        <v>268</v>
      </c>
      <c r="M59" s="13" t="s">
        <v>181</v>
      </c>
      <c r="N59" s="13" t="s">
        <v>181</v>
      </c>
      <c r="O59" s="13" t="s">
        <v>181</v>
      </c>
      <c r="P59" s="13" t="s">
        <v>181</v>
      </c>
      <c r="Q59" s="16" t="s">
        <v>181</v>
      </c>
    </row>
    <row r="60" spans="2:17" ht="30" customHeight="1" x14ac:dyDescent="0.25">
      <c r="D60" s="46" t="s">
        <v>269</v>
      </c>
      <c r="E60" s="47"/>
      <c r="F60" s="47"/>
      <c r="G60" s="47"/>
      <c r="H60" s="47"/>
      <c r="I60" s="47"/>
      <c r="J60" s="47"/>
      <c r="K60" s="47"/>
      <c r="L60" s="47"/>
      <c r="M60" s="47"/>
      <c r="N60" s="47"/>
      <c r="O60" s="47"/>
      <c r="P60" s="47"/>
      <c r="Q60" s="17" t="s">
        <v>183</v>
      </c>
    </row>
    <row r="61" spans="2:17" ht="30" customHeight="1" x14ac:dyDescent="0.25">
      <c r="D61" s="52" t="s">
        <v>270</v>
      </c>
      <c r="E61" s="53"/>
      <c r="F61" s="53"/>
      <c r="G61" s="53"/>
      <c r="H61" s="53"/>
      <c r="I61" s="53"/>
      <c r="J61" s="53"/>
      <c r="K61" s="53"/>
      <c r="L61" s="53"/>
      <c r="M61" s="53"/>
      <c r="N61" s="53"/>
      <c r="O61" s="53"/>
      <c r="P61" s="53"/>
      <c r="Q61" s="54"/>
    </row>
  </sheetData>
  <mergeCells count="33">
    <mergeCell ref="D48:P48"/>
    <mergeCell ref="D49:Q49"/>
    <mergeCell ref="D51:P51"/>
    <mergeCell ref="D52:Q52"/>
    <mergeCell ref="D54:P54"/>
    <mergeCell ref="D28:Q28"/>
    <mergeCell ref="D30:P30"/>
    <mergeCell ref="D31:Q31"/>
    <mergeCell ref="D33:P33"/>
    <mergeCell ref="D34:Q34"/>
    <mergeCell ref="D21:P21"/>
    <mergeCell ref="D22:Q22"/>
    <mergeCell ref="D24:P24"/>
    <mergeCell ref="D25:Q25"/>
    <mergeCell ref="D27:P27"/>
    <mergeCell ref="D4:Q4"/>
    <mergeCell ref="D6:P6"/>
    <mergeCell ref="D7:Q7"/>
    <mergeCell ref="D9:P9"/>
    <mergeCell ref="D10:Q10"/>
    <mergeCell ref="D55:Q55"/>
    <mergeCell ref="D57:P57"/>
    <mergeCell ref="D58:Q58"/>
    <mergeCell ref="D60:P60"/>
    <mergeCell ref="D61:Q61"/>
    <mergeCell ref="D36:P36"/>
    <mergeCell ref="D37:Q37"/>
    <mergeCell ref="D39:P39"/>
    <mergeCell ref="D40:Q40"/>
    <mergeCell ref="D42:P42"/>
    <mergeCell ref="D43:Q43"/>
    <mergeCell ref="D45:P45"/>
    <mergeCell ref="D46:Q46"/>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B1:M16"/>
  <sheetViews>
    <sheetView showGridLines="0" workbookViewId="0">
      <selection activeCell="J9" sqref="J9"/>
    </sheetView>
  </sheetViews>
  <sheetFormatPr baseColWidth="10" defaultColWidth="11.5703125" defaultRowHeight="15" x14ac:dyDescent="0.25"/>
  <cols>
    <col min="1" max="1" width="11.5703125" style="1"/>
    <col min="2" max="2" width="11.5703125" style="26"/>
    <col min="3" max="4" width="11.5703125" style="1"/>
    <col min="5" max="5" width="18" style="26" bestFit="1" customWidth="1"/>
    <col min="6" max="6" width="19.85546875" style="1" bestFit="1" customWidth="1"/>
    <col min="7" max="7" width="17" style="1" bestFit="1" customWidth="1"/>
    <col min="8" max="8" width="11.5703125" style="1"/>
    <col min="9" max="9" width="13.28515625" style="26" bestFit="1" customWidth="1"/>
    <col min="10" max="16384" width="11.5703125" style="1"/>
  </cols>
  <sheetData>
    <row r="1" spans="2:13" ht="15.75" thickBot="1" x14ac:dyDescent="0.3"/>
    <row r="2" spans="2:13" ht="15.75" thickTop="1" x14ac:dyDescent="0.25">
      <c r="B2" s="34" t="s">
        <v>18</v>
      </c>
      <c r="C2" s="31"/>
      <c r="D2" s="2"/>
      <c r="E2" s="34" t="s">
        <v>14</v>
      </c>
      <c r="F2" s="31" t="s">
        <v>16</v>
      </c>
      <c r="G2" s="31" t="s">
        <v>16</v>
      </c>
      <c r="I2" s="34" t="s">
        <v>114</v>
      </c>
      <c r="J2" s="31" t="s">
        <v>111</v>
      </c>
      <c r="K2" s="31" t="s">
        <v>110</v>
      </c>
      <c r="L2" s="31" t="s">
        <v>112</v>
      </c>
      <c r="M2" s="29"/>
    </row>
    <row r="3" spans="2:13" x14ac:dyDescent="0.25">
      <c r="B3" s="35" t="s">
        <v>19</v>
      </c>
      <c r="C3" s="30">
        <v>50.58</v>
      </c>
      <c r="D3" s="2"/>
      <c r="E3" s="36" t="s">
        <v>15</v>
      </c>
      <c r="F3" s="29">
        <v>0.9</v>
      </c>
      <c r="G3" s="29">
        <v>0.1</v>
      </c>
      <c r="I3" s="36" t="s">
        <v>115</v>
      </c>
      <c r="J3" s="29">
        <v>100</v>
      </c>
      <c r="K3" s="29">
        <v>100</v>
      </c>
      <c r="L3" s="29">
        <v>100</v>
      </c>
      <c r="M3" s="29"/>
    </row>
    <row r="4" spans="2:13" x14ac:dyDescent="0.25">
      <c r="B4" s="36" t="s">
        <v>17</v>
      </c>
      <c r="C4" s="29" t="s">
        <v>16</v>
      </c>
      <c r="E4" s="36" t="s">
        <v>0</v>
      </c>
      <c r="F4" s="30" t="s">
        <v>116</v>
      </c>
      <c r="G4" s="30" t="s">
        <v>116</v>
      </c>
    </row>
    <row r="5" spans="2:13" x14ac:dyDescent="0.25">
      <c r="E5" s="36"/>
      <c r="F5" s="29" t="s">
        <v>316</v>
      </c>
      <c r="G5" s="29"/>
    </row>
    <row r="6" spans="2:13" x14ac:dyDescent="0.25">
      <c r="E6" s="36"/>
      <c r="F6" s="29" t="s">
        <v>123</v>
      </c>
      <c r="G6" s="29"/>
    </row>
    <row r="7" spans="2:13" x14ac:dyDescent="0.25">
      <c r="E7" s="36"/>
      <c r="F7" s="1" t="s">
        <v>292</v>
      </c>
      <c r="G7" s="29"/>
    </row>
    <row r="8" spans="2:13" x14ac:dyDescent="0.25">
      <c r="E8" s="36"/>
      <c r="F8" s="29" t="s">
        <v>127</v>
      </c>
      <c r="G8" s="29"/>
    </row>
    <row r="9" spans="2:13" x14ac:dyDescent="0.25">
      <c r="E9" s="36"/>
      <c r="F9" s="1" t="s">
        <v>293</v>
      </c>
      <c r="G9" s="29"/>
    </row>
    <row r="10" spans="2:13" x14ac:dyDescent="0.25">
      <c r="E10" s="36"/>
      <c r="F10" s="29" t="s">
        <v>36</v>
      </c>
      <c r="G10" s="29"/>
    </row>
    <row r="11" spans="2:13" x14ac:dyDescent="0.25">
      <c r="E11" s="36"/>
      <c r="F11" s="29" t="s">
        <v>316</v>
      </c>
      <c r="G11" s="29"/>
    </row>
    <row r="12" spans="2:13" x14ac:dyDescent="0.25">
      <c r="E12" s="36"/>
      <c r="F12" s="29" t="s">
        <v>30</v>
      </c>
      <c r="G12" s="29"/>
    </row>
    <row r="13" spans="2:13" x14ac:dyDescent="0.25">
      <c r="E13" s="36"/>
      <c r="F13" s="29" t="s">
        <v>292</v>
      </c>
    </row>
    <row r="14" spans="2:13" x14ac:dyDescent="0.25">
      <c r="E14" s="36"/>
      <c r="F14" s="29" t="s">
        <v>12</v>
      </c>
    </row>
    <row r="15" spans="2:13" x14ac:dyDescent="0.25">
      <c r="E15" s="36"/>
      <c r="F15" s="29" t="s">
        <v>294</v>
      </c>
    </row>
    <row r="16" spans="2:13" x14ac:dyDescent="0.25">
      <c r="E16" s="36"/>
      <c r="F16" s="29" t="s">
        <v>132</v>
      </c>
    </row>
  </sheetData>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B1:V20"/>
  <sheetViews>
    <sheetView showGridLines="0" zoomScale="79" zoomScaleNormal="100" workbookViewId="0">
      <selection activeCell="J20" sqref="J20"/>
    </sheetView>
  </sheetViews>
  <sheetFormatPr baseColWidth="10" defaultColWidth="11.5703125" defaultRowHeight="15" x14ac:dyDescent="0.25"/>
  <cols>
    <col min="1" max="1" width="11.5703125" style="21"/>
    <col min="2" max="2" width="33.140625" style="24" bestFit="1" customWidth="1"/>
    <col min="3" max="7" width="11.5703125" style="21"/>
    <col min="8" max="8" width="12.28515625" style="21" bestFit="1" customWidth="1"/>
    <col min="9" max="11" width="12.28515625" style="21" customWidth="1"/>
    <col min="12" max="12" width="18.28515625" style="21" bestFit="1" customWidth="1"/>
    <col min="13" max="13" width="20.5703125" style="21" bestFit="1" customWidth="1"/>
    <col min="14" max="14" width="21" style="21" bestFit="1" customWidth="1"/>
    <col min="15" max="17" width="21" style="21" customWidth="1"/>
    <col min="18" max="18" width="11.5703125" style="21"/>
    <col min="19" max="19" width="31.7109375" style="24" bestFit="1" customWidth="1"/>
    <col min="20" max="16384" width="11.5703125" style="21"/>
  </cols>
  <sheetData>
    <row r="1" spans="2:22" ht="15.75" thickBot="1" x14ac:dyDescent="0.3"/>
    <row r="2" spans="2:22" ht="15.75" thickTop="1" x14ac:dyDescent="0.25">
      <c r="B2" s="37" t="s">
        <v>0</v>
      </c>
      <c r="C2" s="32" t="s">
        <v>29</v>
      </c>
      <c r="D2" s="32" t="s">
        <v>30</v>
      </c>
      <c r="E2" s="32" t="s">
        <v>31</v>
      </c>
      <c r="F2" s="32" t="s">
        <v>36</v>
      </c>
      <c r="G2" s="32" t="s">
        <v>37</v>
      </c>
      <c r="H2" s="32" t="s">
        <v>12</v>
      </c>
      <c r="I2" s="32" t="s">
        <v>123</v>
      </c>
      <c r="J2" s="32" t="s">
        <v>127</v>
      </c>
      <c r="K2" s="32" t="s">
        <v>132</v>
      </c>
      <c r="L2" s="32" t="s">
        <v>116</v>
      </c>
      <c r="M2" s="32" t="s">
        <v>117</v>
      </c>
      <c r="N2" s="32" t="s">
        <v>118</v>
      </c>
      <c r="O2" s="32" t="s">
        <v>292</v>
      </c>
      <c r="P2" s="32" t="s">
        <v>293</v>
      </c>
      <c r="Q2" s="32" t="s">
        <v>294</v>
      </c>
      <c r="R2" s="33"/>
      <c r="S2" s="39" t="s">
        <v>24</v>
      </c>
      <c r="T2" s="32" t="s">
        <v>20</v>
      </c>
      <c r="U2" s="32" t="s">
        <v>38</v>
      </c>
      <c r="V2" s="32" t="s">
        <v>316</v>
      </c>
    </row>
    <row r="3" spans="2:22" x14ac:dyDescent="0.25">
      <c r="B3" s="38" t="s">
        <v>22</v>
      </c>
      <c r="C3" s="21" t="s">
        <v>25</v>
      </c>
      <c r="D3" s="21" t="s">
        <v>27</v>
      </c>
      <c r="E3" s="21" t="s">
        <v>32</v>
      </c>
      <c r="F3" s="21" t="s">
        <v>34</v>
      </c>
      <c r="G3" s="21" t="s">
        <v>52</v>
      </c>
      <c r="H3" s="21" t="s">
        <v>34</v>
      </c>
      <c r="I3" s="21" t="s">
        <v>32</v>
      </c>
      <c r="J3" s="21" t="s">
        <v>34</v>
      </c>
      <c r="K3" s="21" t="s">
        <v>133</v>
      </c>
      <c r="L3" s="21" t="s">
        <v>26</v>
      </c>
      <c r="M3" s="21" t="s">
        <v>26</v>
      </c>
      <c r="N3" s="21" t="s">
        <v>26</v>
      </c>
      <c r="O3" s="55" t="s">
        <v>33</v>
      </c>
      <c r="P3" s="55" t="s">
        <v>35</v>
      </c>
      <c r="Q3" s="55" t="s">
        <v>32</v>
      </c>
      <c r="S3" s="38" t="s">
        <v>173</v>
      </c>
      <c r="T3" s="56" t="s">
        <v>35</v>
      </c>
      <c r="U3" s="56" t="s">
        <v>28</v>
      </c>
    </row>
    <row r="4" spans="2:22" x14ac:dyDescent="0.25">
      <c r="B4" s="38" t="s">
        <v>23</v>
      </c>
      <c r="C4" s="21" t="s">
        <v>26</v>
      </c>
      <c r="D4" s="21" t="s">
        <v>28</v>
      </c>
      <c r="E4" s="21" t="s">
        <v>33</v>
      </c>
      <c r="F4" s="21" t="s">
        <v>35</v>
      </c>
      <c r="G4" s="21" t="s">
        <v>35</v>
      </c>
      <c r="H4" s="21" t="s">
        <v>26</v>
      </c>
      <c r="I4" s="21" t="s">
        <v>28</v>
      </c>
      <c r="J4" s="21" t="s">
        <v>32</v>
      </c>
      <c r="K4" s="21" t="s">
        <v>33</v>
      </c>
      <c r="L4" s="21" t="s">
        <v>26</v>
      </c>
      <c r="M4" s="21" t="s">
        <v>26</v>
      </c>
      <c r="N4" s="21" t="s">
        <v>28</v>
      </c>
      <c r="O4" s="55" t="s">
        <v>133</v>
      </c>
      <c r="P4" s="55" t="s">
        <v>133</v>
      </c>
      <c r="Q4" s="55" t="s">
        <v>295</v>
      </c>
      <c r="S4" s="38" t="s">
        <v>60</v>
      </c>
      <c r="T4" s="23" t="s">
        <v>59</v>
      </c>
      <c r="U4" s="23" t="s">
        <v>59</v>
      </c>
      <c r="V4" s="25">
        <v>0</v>
      </c>
    </row>
    <row r="5" spans="2:22" x14ac:dyDescent="0.25">
      <c r="B5" s="38" t="s">
        <v>3</v>
      </c>
      <c r="C5" s="25" t="s">
        <v>46</v>
      </c>
      <c r="D5" s="25" t="s">
        <v>47</v>
      </c>
      <c r="E5" s="21" t="s">
        <v>48</v>
      </c>
      <c r="F5" s="25" t="s">
        <v>49</v>
      </c>
      <c r="G5" s="21" t="s">
        <v>50</v>
      </c>
      <c r="H5" s="25" t="s">
        <v>51</v>
      </c>
      <c r="I5" s="20" t="s">
        <v>124</v>
      </c>
      <c r="J5" s="20" t="s">
        <v>128</v>
      </c>
      <c r="K5" s="20" t="s">
        <v>128</v>
      </c>
      <c r="L5" s="56" t="s">
        <v>93</v>
      </c>
      <c r="M5" s="56" t="s">
        <v>93</v>
      </c>
      <c r="N5" s="56" t="s">
        <v>93</v>
      </c>
      <c r="O5" s="23">
        <v>0</v>
      </c>
      <c r="P5" s="23">
        <v>0</v>
      </c>
      <c r="Q5" s="23">
        <v>0</v>
      </c>
      <c r="S5" s="38" t="s">
        <v>61</v>
      </c>
      <c r="T5" s="23" t="s">
        <v>59</v>
      </c>
      <c r="U5" s="23" t="s">
        <v>59</v>
      </c>
      <c r="V5" s="21">
        <v>0</v>
      </c>
    </row>
    <row r="6" spans="2:22" x14ac:dyDescent="0.25">
      <c r="B6" s="38" t="s">
        <v>1</v>
      </c>
      <c r="C6" s="25" t="s">
        <v>54</v>
      </c>
      <c r="D6" s="25" t="s">
        <v>53</v>
      </c>
      <c r="E6" s="21" t="s">
        <v>55</v>
      </c>
      <c r="F6" s="25" t="s">
        <v>56</v>
      </c>
      <c r="G6" s="21" t="s">
        <v>57</v>
      </c>
      <c r="H6" s="25" t="s">
        <v>58</v>
      </c>
      <c r="I6" s="20" t="s">
        <v>125</v>
      </c>
      <c r="J6" s="56" t="s">
        <v>129</v>
      </c>
      <c r="K6" s="56" t="s">
        <v>129</v>
      </c>
      <c r="L6" s="23" t="s">
        <v>59</v>
      </c>
      <c r="M6" s="23" t="s">
        <v>59</v>
      </c>
      <c r="N6" s="23" t="s">
        <v>59</v>
      </c>
      <c r="O6" s="23">
        <v>0</v>
      </c>
      <c r="P6" s="23">
        <v>0</v>
      </c>
      <c r="Q6" s="23">
        <v>0</v>
      </c>
      <c r="S6" s="38" t="s">
        <v>2</v>
      </c>
      <c r="T6" s="56" t="s">
        <v>93</v>
      </c>
      <c r="U6" s="56" t="s">
        <v>93</v>
      </c>
      <c r="V6" s="56">
        <v>50</v>
      </c>
    </row>
    <row r="7" spans="2:22" x14ac:dyDescent="0.25">
      <c r="B7" s="38" t="s">
        <v>2</v>
      </c>
      <c r="C7" s="21" t="s">
        <v>64</v>
      </c>
      <c r="D7" s="21" t="s">
        <v>65</v>
      </c>
      <c r="E7" s="21" t="s">
        <v>66</v>
      </c>
      <c r="F7" s="21" t="s">
        <v>67</v>
      </c>
      <c r="G7" s="21" t="s">
        <v>68</v>
      </c>
      <c r="H7" s="21" t="s">
        <v>69</v>
      </c>
      <c r="I7" s="22" t="s">
        <v>126</v>
      </c>
      <c r="J7" s="56" t="s">
        <v>130</v>
      </c>
      <c r="K7" s="56" t="s">
        <v>130</v>
      </c>
      <c r="L7" s="21" t="s">
        <v>121</v>
      </c>
      <c r="M7" s="21" t="s">
        <v>121</v>
      </c>
      <c r="N7" s="21" t="s">
        <v>121</v>
      </c>
      <c r="O7" s="56">
        <v>300</v>
      </c>
      <c r="P7" s="56">
        <v>300</v>
      </c>
      <c r="Q7" s="56">
        <v>300</v>
      </c>
      <c r="S7" s="38" t="s">
        <v>4</v>
      </c>
      <c r="T7" s="56" t="s">
        <v>59</v>
      </c>
      <c r="U7" s="56" t="s">
        <v>59</v>
      </c>
      <c r="V7" s="56">
        <v>50</v>
      </c>
    </row>
    <row r="8" spans="2:22" x14ac:dyDescent="0.25">
      <c r="B8" s="38" t="s">
        <v>4</v>
      </c>
      <c r="C8" s="56" t="s">
        <v>59</v>
      </c>
      <c r="D8" s="56" t="s">
        <v>59</v>
      </c>
      <c r="E8" s="56" t="s">
        <v>59</v>
      </c>
      <c r="F8" s="56" t="s">
        <v>59</v>
      </c>
      <c r="G8" s="56" t="s">
        <v>59</v>
      </c>
      <c r="H8" s="56" t="s">
        <v>59</v>
      </c>
      <c r="I8" s="56" t="s">
        <v>59</v>
      </c>
      <c r="J8" s="56" t="s">
        <v>59</v>
      </c>
      <c r="K8" s="56" t="s">
        <v>59</v>
      </c>
      <c r="L8" s="56" t="s">
        <v>59</v>
      </c>
      <c r="M8" s="56" t="s">
        <v>59</v>
      </c>
      <c r="N8" s="56" t="s">
        <v>59</v>
      </c>
      <c r="O8" s="56">
        <v>0</v>
      </c>
      <c r="P8" s="56">
        <v>0</v>
      </c>
      <c r="Q8" s="56">
        <v>0</v>
      </c>
      <c r="S8" s="38" t="s">
        <v>82</v>
      </c>
      <c r="T8" s="56" t="s">
        <v>94</v>
      </c>
      <c r="U8" s="56" t="s">
        <v>94</v>
      </c>
      <c r="V8" s="56">
        <v>4</v>
      </c>
    </row>
    <row r="9" spans="2:22" x14ac:dyDescent="0.25">
      <c r="B9" s="38" t="s">
        <v>82</v>
      </c>
      <c r="C9" s="21" t="s">
        <v>75</v>
      </c>
      <c r="D9" s="21" t="s">
        <v>75</v>
      </c>
      <c r="E9" s="21" t="s">
        <v>76</v>
      </c>
      <c r="F9" s="21" t="s">
        <v>77</v>
      </c>
      <c r="G9" s="21" t="s">
        <v>78</v>
      </c>
      <c r="H9" s="21" t="s">
        <v>79</v>
      </c>
      <c r="I9" s="22" t="s">
        <v>75</v>
      </c>
      <c r="J9" s="56" t="s">
        <v>131</v>
      </c>
      <c r="K9" s="56" t="s">
        <v>131</v>
      </c>
      <c r="L9" s="21" t="s">
        <v>122</v>
      </c>
      <c r="M9" s="21" t="s">
        <v>122</v>
      </c>
      <c r="N9" s="21" t="s">
        <v>122</v>
      </c>
      <c r="O9" s="56">
        <v>2</v>
      </c>
      <c r="P9" s="56">
        <v>2</v>
      </c>
      <c r="Q9" s="56">
        <v>2</v>
      </c>
      <c r="S9" s="38" t="s">
        <v>5</v>
      </c>
      <c r="T9" s="20">
        <v>35</v>
      </c>
      <c r="U9" s="20">
        <v>15</v>
      </c>
      <c r="V9" s="21">
        <v>0</v>
      </c>
    </row>
    <row r="10" spans="2:22" x14ac:dyDescent="0.25">
      <c r="B10" s="38" t="s">
        <v>5</v>
      </c>
      <c r="C10" s="20">
        <f>(32+(37-32)/2)*C5/10</f>
        <v>144.9</v>
      </c>
      <c r="D10" s="20">
        <f>1.15*HLOOKUP("W-Weizen",B2:AAA1001,9,FALSE)</f>
        <v>352.67624999999998</v>
      </c>
      <c r="E10" s="20">
        <v>650</v>
      </c>
      <c r="F10" s="20">
        <v>500</v>
      </c>
      <c r="G10" s="22">
        <f>(40+(75-40)/2)*G5/10</f>
        <v>370.30000000000007</v>
      </c>
      <c r="H10" s="20">
        <v>450</v>
      </c>
      <c r="I10" s="20">
        <f>(60+(85-60)/2)*I5/10</f>
        <v>306.67500000000001</v>
      </c>
      <c r="J10" s="20">
        <f>750/6</f>
        <v>125</v>
      </c>
      <c r="K10" s="20">
        <v>178</v>
      </c>
      <c r="L10" s="56">
        <v>300</v>
      </c>
      <c r="M10" s="56">
        <v>300</v>
      </c>
      <c r="N10" s="56">
        <v>300</v>
      </c>
      <c r="O10" s="23">
        <v>200</v>
      </c>
      <c r="P10" s="23">
        <v>200</v>
      </c>
      <c r="Q10" s="23">
        <v>200</v>
      </c>
      <c r="S10" s="38" t="s">
        <v>6</v>
      </c>
      <c r="T10" s="23" t="s">
        <v>59</v>
      </c>
      <c r="U10" s="23" t="s">
        <v>59</v>
      </c>
      <c r="V10" s="25">
        <v>0</v>
      </c>
    </row>
    <row r="11" spans="2:22" x14ac:dyDescent="0.25">
      <c r="B11" s="38" t="s">
        <v>6</v>
      </c>
      <c r="C11" s="21" t="s">
        <v>95</v>
      </c>
      <c r="D11" s="21" t="s">
        <v>96</v>
      </c>
      <c r="E11" s="22" t="s">
        <v>97</v>
      </c>
      <c r="F11" s="21" t="s">
        <v>59</v>
      </c>
      <c r="G11" s="22" t="s">
        <v>98</v>
      </c>
      <c r="H11" s="21" t="s">
        <v>99</v>
      </c>
      <c r="I11" s="22" t="s">
        <v>102</v>
      </c>
      <c r="J11" s="56" t="s">
        <v>107</v>
      </c>
      <c r="K11" s="56" t="s">
        <v>107</v>
      </c>
      <c r="L11" s="56">
        <v>0</v>
      </c>
      <c r="M11" s="56" t="s">
        <v>59</v>
      </c>
      <c r="N11" s="56" t="s">
        <v>59</v>
      </c>
      <c r="O11" s="56">
        <v>0</v>
      </c>
      <c r="P11" s="56">
        <v>0</v>
      </c>
      <c r="Q11" s="56">
        <v>0</v>
      </c>
      <c r="S11" s="38" t="s">
        <v>7</v>
      </c>
      <c r="T11" s="23" t="s">
        <v>59</v>
      </c>
      <c r="U11" s="23" t="s">
        <v>59</v>
      </c>
      <c r="V11" s="25">
        <v>0</v>
      </c>
    </row>
    <row r="12" spans="2:22" x14ac:dyDescent="0.25">
      <c r="B12" s="38" t="s">
        <v>7</v>
      </c>
      <c r="C12" s="21" t="s">
        <v>100</v>
      </c>
      <c r="D12" s="21" t="s">
        <v>100</v>
      </c>
      <c r="E12" s="22" t="s">
        <v>101</v>
      </c>
      <c r="F12" s="21" t="s">
        <v>102</v>
      </c>
      <c r="G12" s="22" t="s">
        <v>100</v>
      </c>
      <c r="H12" s="21" t="s">
        <v>103</v>
      </c>
      <c r="I12" s="22" t="s">
        <v>100</v>
      </c>
      <c r="J12" s="56" t="s">
        <v>107</v>
      </c>
      <c r="K12" s="56" t="s">
        <v>107</v>
      </c>
      <c r="L12" s="22" t="s">
        <v>119</v>
      </c>
      <c r="M12" s="22" t="s">
        <v>119</v>
      </c>
      <c r="N12" s="22" t="s">
        <v>119</v>
      </c>
      <c r="O12" s="56">
        <v>0</v>
      </c>
      <c r="P12" s="56">
        <v>0</v>
      </c>
      <c r="Q12" s="56">
        <v>0</v>
      </c>
      <c r="S12" s="38" t="s">
        <v>8</v>
      </c>
      <c r="T12" s="23" t="s">
        <v>59</v>
      </c>
      <c r="U12" s="23" t="s">
        <v>59</v>
      </c>
      <c r="V12" s="25">
        <v>0</v>
      </c>
    </row>
    <row r="13" spans="2:22" x14ac:dyDescent="0.25">
      <c r="B13" s="38" t="s">
        <v>8</v>
      </c>
      <c r="C13" s="21" t="s">
        <v>104</v>
      </c>
      <c r="D13" s="21" t="s">
        <v>100</v>
      </c>
      <c r="E13" s="22" t="s">
        <v>105</v>
      </c>
      <c r="F13" s="21" t="s">
        <v>106</v>
      </c>
      <c r="G13" s="22" t="s">
        <v>107</v>
      </c>
      <c r="H13" s="21" t="s">
        <v>108</v>
      </c>
      <c r="I13" s="22" t="s">
        <v>104</v>
      </c>
      <c r="J13" s="56" t="s">
        <v>107</v>
      </c>
      <c r="K13" s="56" t="s">
        <v>107</v>
      </c>
      <c r="L13" s="22" t="s">
        <v>120</v>
      </c>
      <c r="M13" s="22" t="s">
        <v>120</v>
      </c>
      <c r="N13" s="22" t="s">
        <v>120</v>
      </c>
      <c r="O13" s="56">
        <v>0</v>
      </c>
      <c r="P13" s="56">
        <v>0</v>
      </c>
      <c r="Q13" s="56">
        <v>0</v>
      </c>
      <c r="S13" s="38" t="s">
        <v>9</v>
      </c>
      <c r="T13" s="23" t="s">
        <v>59</v>
      </c>
      <c r="U13" s="23" t="s">
        <v>59</v>
      </c>
      <c r="V13" s="25">
        <v>0</v>
      </c>
    </row>
    <row r="14" spans="2:22" x14ac:dyDescent="0.25">
      <c r="B14" s="38" t="s">
        <v>9</v>
      </c>
      <c r="C14" s="56" t="s">
        <v>59</v>
      </c>
      <c r="D14" s="56" t="s">
        <v>59</v>
      </c>
      <c r="E14" s="20">
        <f>-(30+(50-30)/2)/E5</f>
        <v>-2.0833333333333335</v>
      </c>
      <c r="F14" s="56" t="s">
        <v>59</v>
      </c>
      <c r="G14" s="56" t="s">
        <v>59</v>
      </c>
      <c r="H14" s="56" t="s">
        <v>59</v>
      </c>
      <c r="I14" s="56" t="s">
        <v>59</v>
      </c>
      <c r="J14" s="56" t="s">
        <v>59</v>
      </c>
      <c r="K14" s="56" t="s">
        <v>59</v>
      </c>
      <c r="L14" s="20">
        <v>-7.0000000000000007E-2</v>
      </c>
      <c r="M14" s="20">
        <v>-7.0000000000000007E-2</v>
      </c>
      <c r="N14" s="20">
        <v>-7.0000000000000007E-2</v>
      </c>
      <c r="O14" s="56">
        <v>0</v>
      </c>
      <c r="P14" s="56">
        <v>0</v>
      </c>
      <c r="Q14" s="56">
        <v>0</v>
      </c>
      <c r="S14" s="38" t="s">
        <v>10</v>
      </c>
      <c r="T14" s="23" t="s">
        <v>59</v>
      </c>
      <c r="U14" s="23" t="s">
        <v>59</v>
      </c>
      <c r="V14" s="25">
        <v>0</v>
      </c>
    </row>
    <row r="15" spans="2:22" x14ac:dyDescent="0.25">
      <c r="B15" s="38" t="s">
        <v>10</v>
      </c>
      <c r="C15" s="56" t="s">
        <v>59</v>
      </c>
      <c r="D15" s="56" t="s">
        <v>59</v>
      </c>
      <c r="E15" s="56" t="s">
        <v>59</v>
      </c>
      <c r="F15" s="56" t="s">
        <v>59</v>
      </c>
      <c r="G15" s="22">
        <v>-0.25</v>
      </c>
      <c r="H15" s="56" t="s">
        <v>59</v>
      </c>
      <c r="I15" s="56" t="s">
        <v>59</v>
      </c>
      <c r="J15" s="56" t="s">
        <v>59</v>
      </c>
      <c r="K15" s="56" t="s">
        <v>59</v>
      </c>
      <c r="L15" s="56" t="s">
        <v>59</v>
      </c>
      <c r="M15" s="56" t="s">
        <v>59</v>
      </c>
      <c r="N15" s="56" t="s">
        <v>59</v>
      </c>
      <c r="O15" s="56">
        <v>0</v>
      </c>
      <c r="P15" s="56">
        <v>0</v>
      </c>
      <c r="Q15" s="56">
        <v>0</v>
      </c>
      <c r="S15" s="38" t="s">
        <v>11</v>
      </c>
      <c r="T15" s="23" t="s">
        <v>59</v>
      </c>
      <c r="U15" s="23" t="s">
        <v>59</v>
      </c>
      <c r="V15" s="25">
        <v>0</v>
      </c>
    </row>
    <row r="16" spans="2:22" x14ac:dyDescent="0.25">
      <c r="B16" s="38" t="s">
        <v>11</v>
      </c>
      <c r="C16" s="56" t="s">
        <v>59</v>
      </c>
      <c r="D16" s="56" t="s">
        <v>59</v>
      </c>
      <c r="E16" s="56" t="s">
        <v>59</v>
      </c>
      <c r="F16" s="56" t="s">
        <v>59</v>
      </c>
      <c r="G16" s="22">
        <v>-0.25</v>
      </c>
      <c r="H16" s="56" t="s">
        <v>59</v>
      </c>
      <c r="I16" s="20">
        <f>-0.13*880/1000</f>
        <v>-0.1144</v>
      </c>
      <c r="J16" s="56" t="s">
        <v>59</v>
      </c>
      <c r="K16" s="56" t="s">
        <v>59</v>
      </c>
      <c r="L16" s="20">
        <v>-0.09</v>
      </c>
      <c r="M16" s="20">
        <v>-0.09</v>
      </c>
      <c r="N16" s="20">
        <v>-0.09</v>
      </c>
      <c r="O16" s="56">
        <v>0</v>
      </c>
      <c r="P16" s="56">
        <v>0</v>
      </c>
      <c r="Q16" s="56">
        <v>0</v>
      </c>
      <c r="S16" s="38" t="s">
        <v>177</v>
      </c>
      <c r="T16" s="23" t="s">
        <v>59</v>
      </c>
      <c r="U16" s="23" t="s">
        <v>59</v>
      </c>
      <c r="V16" s="25">
        <v>0</v>
      </c>
    </row>
    <row r="17" spans="2:22" x14ac:dyDescent="0.25">
      <c r="B17" s="38" t="s">
        <v>177</v>
      </c>
      <c r="C17" s="20">
        <f>-30/80</f>
        <v>-0.375</v>
      </c>
      <c r="D17" s="20">
        <f>-30/80</f>
        <v>-0.375</v>
      </c>
      <c r="E17" s="56" t="s">
        <v>59</v>
      </c>
      <c r="F17" s="56" t="s">
        <v>59</v>
      </c>
      <c r="G17" s="56" t="s">
        <v>59</v>
      </c>
      <c r="H17" s="56" t="s">
        <v>59</v>
      </c>
      <c r="I17" s="20">
        <f>-30/80</f>
        <v>-0.375</v>
      </c>
      <c r="J17" s="56" t="s">
        <v>59</v>
      </c>
      <c r="K17" s="56" t="s">
        <v>59</v>
      </c>
      <c r="L17" s="56" t="s">
        <v>59</v>
      </c>
      <c r="M17" s="56" t="s">
        <v>59</v>
      </c>
      <c r="N17" s="56" t="s">
        <v>59</v>
      </c>
      <c r="O17" s="56">
        <v>0</v>
      </c>
      <c r="P17" s="56">
        <v>0</v>
      </c>
      <c r="Q17" s="56">
        <v>0</v>
      </c>
      <c r="S17" s="38" t="s">
        <v>178</v>
      </c>
      <c r="T17" s="23" t="s">
        <v>59</v>
      </c>
      <c r="U17" s="23" t="s">
        <v>59</v>
      </c>
      <c r="V17" s="25">
        <v>0</v>
      </c>
    </row>
    <row r="18" spans="2:22" x14ac:dyDescent="0.25">
      <c r="B18" s="38" t="s">
        <v>178</v>
      </c>
      <c r="C18" s="20">
        <f>-35/80</f>
        <v>-0.4375</v>
      </c>
      <c r="D18" s="20">
        <f>-35/80</f>
        <v>-0.4375</v>
      </c>
      <c r="E18" s="56" t="s">
        <v>59</v>
      </c>
      <c r="F18" s="56" t="s">
        <v>59</v>
      </c>
      <c r="G18" s="56" t="s">
        <v>59</v>
      </c>
      <c r="H18" s="56" t="s">
        <v>59</v>
      </c>
      <c r="I18" s="20">
        <f>-35/80</f>
        <v>-0.4375</v>
      </c>
      <c r="J18" s="56" t="s">
        <v>59</v>
      </c>
      <c r="K18" s="56" t="s">
        <v>59</v>
      </c>
      <c r="L18" s="56" t="s">
        <v>59</v>
      </c>
      <c r="M18" s="56" t="s">
        <v>59</v>
      </c>
      <c r="N18" s="56" t="s">
        <v>59</v>
      </c>
      <c r="O18" s="56">
        <v>0</v>
      </c>
      <c r="P18" s="56">
        <v>0</v>
      </c>
      <c r="Q18" s="56">
        <v>0</v>
      </c>
      <c r="S18" s="38" t="s">
        <v>179</v>
      </c>
      <c r="T18" s="23" t="s">
        <v>59</v>
      </c>
      <c r="U18" s="23" t="s">
        <v>59</v>
      </c>
      <c r="V18" s="25">
        <v>0</v>
      </c>
    </row>
    <row r="19" spans="2:22" x14ac:dyDescent="0.25">
      <c r="B19" s="38" t="s">
        <v>179</v>
      </c>
      <c r="C19" s="20">
        <f>-450/80</f>
        <v>-5.625</v>
      </c>
      <c r="D19" s="20">
        <f>-450/80</f>
        <v>-5.625</v>
      </c>
      <c r="E19" s="56" t="s">
        <v>59</v>
      </c>
      <c r="F19" s="56" t="s">
        <v>59</v>
      </c>
      <c r="G19" s="56" t="s">
        <v>59</v>
      </c>
      <c r="H19" s="56" t="s">
        <v>59</v>
      </c>
      <c r="I19" s="20">
        <f>-450/80</f>
        <v>-5.625</v>
      </c>
      <c r="J19" s="56" t="s">
        <v>59</v>
      </c>
      <c r="K19" s="56" t="s">
        <v>59</v>
      </c>
      <c r="L19" s="56" t="s">
        <v>59</v>
      </c>
      <c r="M19" s="56" t="s">
        <v>59</v>
      </c>
      <c r="N19" s="56" t="s">
        <v>59</v>
      </c>
      <c r="O19" s="56">
        <v>0</v>
      </c>
      <c r="P19" s="56">
        <v>0</v>
      </c>
      <c r="Q19" s="56">
        <v>0</v>
      </c>
      <c r="S19" s="38" t="s">
        <v>180</v>
      </c>
      <c r="T19" s="23" t="s">
        <v>59</v>
      </c>
      <c r="U19" s="23" t="s">
        <v>59</v>
      </c>
      <c r="V19" s="25">
        <v>0</v>
      </c>
    </row>
    <row r="20" spans="2:22" x14ac:dyDescent="0.25">
      <c r="B20" s="38" t="s">
        <v>180</v>
      </c>
      <c r="C20" s="20">
        <f>-150/80</f>
        <v>-1.875</v>
      </c>
      <c r="D20" s="20">
        <f>-150/80</f>
        <v>-1.875</v>
      </c>
      <c r="E20" s="56" t="s">
        <v>59</v>
      </c>
      <c r="F20" s="56" t="s">
        <v>59</v>
      </c>
      <c r="G20" s="56" t="s">
        <v>59</v>
      </c>
      <c r="H20" s="56" t="s">
        <v>59</v>
      </c>
      <c r="I20" s="20">
        <f>-150/80</f>
        <v>-1.875</v>
      </c>
      <c r="J20" s="56" t="s">
        <v>59</v>
      </c>
      <c r="K20" s="56" t="s">
        <v>59</v>
      </c>
      <c r="L20" s="56" t="s">
        <v>59</v>
      </c>
      <c r="M20" s="56" t="s">
        <v>59</v>
      </c>
      <c r="N20" s="56" t="s">
        <v>59</v>
      </c>
      <c r="O20" s="56">
        <v>0</v>
      </c>
      <c r="P20" s="56">
        <v>0</v>
      </c>
      <c r="Q20" s="56">
        <v>0</v>
      </c>
    </row>
  </sheetData>
  <hyperlinks>
    <hyperlink ref="G10" r:id="rId1" display="350" xr:uid="{00000000-0004-0000-0200-000000000000}"/>
    <hyperlink ref="E11" r:id="rId2" xr:uid="{00000000-0004-0000-0200-000001000000}"/>
    <hyperlink ref="G11" r:id="rId3" xr:uid="{00000000-0004-0000-0200-000002000000}"/>
    <hyperlink ref="E12" r:id="rId4" xr:uid="{00000000-0004-0000-0200-000003000000}"/>
    <hyperlink ref="G12" r:id="rId5" xr:uid="{00000000-0004-0000-0200-000004000000}"/>
    <hyperlink ref="E13" r:id="rId6" xr:uid="{00000000-0004-0000-0200-000005000000}"/>
    <hyperlink ref="G13" r:id="rId7" xr:uid="{00000000-0004-0000-0200-000006000000}"/>
    <hyperlink ref="I5" r:id="rId8" xr:uid="{00000000-0004-0000-0200-000007000000}"/>
    <hyperlink ref="I7" r:id="rId9" xr:uid="{00000000-0004-0000-0200-000008000000}"/>
    <hyperlink ref="I6" r:id="rId10" xr:uid="{00000000-0004-0000-0200-000009000000}"/>
    <hyperlink ref="I9" r:id="rId11" xr:uid="{00000000-0004-0000-0200-00000A000000}"/>
    <hyperlink ref="I11" r:id="rId12" xr:uid="{00000000-0004-0000-0200-00000B000000}"/>
    <hyperlink ref="I12" r:id="rId13" xr:uid="{00000000-0004-0000-0200-00000C000000}"/>
    <hyperlink ref="I13" r:id="rId14" xr:uid="{00000000-0004-0000-0200-00000D000000}"/>
    <hyperlink ref="J5" r:id="rId15" xr:uid="{00000000-0004-0000-0200-00000E000000}"/>
    <hyperlink ref="I16" r:id="rId16" display="https://llh.hessen.de/pflanze/boden-und-duengung/mikronaehrstoffe/welchen-nutzen-bringen-mikro-naehrstoffbeizen-bei-weizen/" xr:uid="{00000000-0004-0000-0200-00000F000000}"/>
    <hyperlink ref="I10" r:id="rId17" display="https://www.yara.de/pflanzenernaehrung/pure-nutrient/info12-wassernutzungs-effizienz/wasserbedarf-im-pflanzenbau/" xr:uid="{00000000-0004-0000-0200-000010000000}"/>
    <hyperlink ref="G15" r:id="rId18" display="https://www.kws.com/de/de/beratung/aussaat/bodenbearbeitung/mais/" xr:uid="{00000000-0004-0000-0200-000011000000}"/>
    <hyperlink ref="G16" r:id="rId19" display="https://www.kws.com/de/de/beratung/aussaat/bodenbearbeitung/mais/" xr:uid="{00000000-0004-0000-0200-000012000000}"/>
    <hyperlink ref="C10" r:id="rId20" display="https://www.hauptsaaten.de/fileadmin/hauptsaaten/files/2021_Haferfibel.pdf" xr:uid="{00000000-0004-0000-0200-000013000000}"/>
    <hyperlink ref="D10" r:id="rId21" display="https://www.agrarheute.com/pflanze/getreide/spelzweizen-beim-dinkel-anbau-beachten-444197" xr:uid="{00000000-0004-0000-0200-000014000000}"/>
    <hyperlink ref="E10" r:id="rId22" display="200" xr:uid="{00000000-0004-0000-0200-000015000000}"/>
    <hyperlink ref="E14" r:id="rId23" display="https://www.praxisnah.de/index.cfm/article/8612.html" xr:uid="{00000000-0004-0000-0200-000016000000}"/>
    <hyperlink ref="C17" r:id="rId24" display="https://www.lfl.bayern.de/mam/cms07/publikationen/daten/informationen/leitfaden-duengung-acker-gruenland_gelbes-heft_lfl-information.pdf" xr:uid="{00000000-0004-0000-0200-000017000000}"/>
    <hyperlink ref="C18" r:id="rId25" display="https://www.lfl.bayern.de/mam/cms07/publikationen/daten/informationen/leitfaden-duengung-acker-gruenland_gelbes-heft_lfl-information.pdf" xr:uid="{00000000-0004-0000-0200-000018000000}"/>
    <hyperlink ref="C19" r:id="rId26" display="https://www.lfl.bayern.de/mam/cms07/publikationen/daten/informationen/leitfaden-duengung-acker-gruenland_gelbes-heft_lfl-information.pdf" xr:uid="{00000000-0004-0000-0200-000019000000}"/>
    <hyperlink ref="C20" r:id="rId27" display="https://www.lfl.bayern.de/mam/cms07/publikationen/daten/informationen/leitfaden-duengung-acker-gruenland_gelbes-heft_lfl-information.pdf" xr:uid="{00000000-0004-0000-0200-00001A000000}"/>
    <hyperlink ref="D17" r:id="rId28" display="https://www.lfl.bayern.de/mam/cms07/publikationen/daten/informationen/leitfaden-duengung-acker-gruenland_gelbes-heft_lfl-information.pdf" xr:uid="{00000000-0004-0000-0200-00001B000000}"/>
    <hyperlink ref="D18" r:id="rId29" display="https://www.lfl.bayern.de/mam/cms07/publikationen/daten/informationen/leitfaden-duengung-acker-gruenland_gelbes-heft_lfl-information.pdf" xr:uid="{00000000-0004-0000-0200-00001C000000}"/>
    <hyperlink ref="D19" r:id="rId30" display="https://www.lfl.bayern.de/mam/cms07/publikationen/daten/informationen/leitfaden-duengung-acker-gruenland_gelbes-heft_lfl-information.pdf" xr:uid="{00000000-0004-0000-0200-00001D000000}"/>
    <hyperlink ref="D20" r:id="rId31" display="https://www.lfl.bayern.de/mam/cms07/publikationen/daten/informationen/leitfaden-duengung-acker-gruenland_gelbes-heft_lfl-information.pdf" xr:uid="{00000000-0004-0000-0200-00001E000000}"/>
    <hyperlink ref="I17" r:id="rId32" display="https://www.lfl.bayern.de/mam/cms07/publikationen/daten/informationen/leitfaden-duengung-acker-gruenland_gelbes-heft_lfl-information.pdf" xr:uid="{00000000-0004-0000-0200-00001F000000}"/>
    <hyperlink ref="I18" r:id="rId33" display="https://www.lfl.bayern.de/mam/cms07/publikationen/daten/informationen/leitfaden-duengung-acker-gruenland_gelbes-heft_lfl-information.pdf" xr:uid="{00000000-0004-0000-0200-000020000000}"/>
    <hyperlink ref="I19" r:id="rId34" display="https://www.lfl.bayern.de/mam/cms07/publikationen/daten/informationen/leitfaden-duengung-acker-gruenland_gelbes-heft_lfl-information.pdf" xr:uid="{00000000-0004-0000-0200-000021000000}"/>
    <hyperlink ref="I20" r:id="rId35" display="https://www.lfl.bayern.de/mam/cms07/publikationen/daten/informationen/leitfaden-duengung-acker-gruenland_gelbes-heft_lfl-information.pdf" xr:uid="{00000000-0004-0000-0200-000022000000}"/>
    <hyperlink ref="L12" r:id="rId36" xr:uid="{00000000-0004-0000-0200-000023000000}"/>
    <hyperlink ref="L13" r:id="rId37" xr:uid="{00000000-0004-0000-0200-000024000000}"/>
    <hyperlink ref="M12" r:id="rId38" xr:uid="{00000000-0004-0000-0200-000025000000}"/>
    <hyperlink ref="M13" r:id="rId39" xr:uid="{00000000-0004-0000-0200-000026000000}"/>
    <hyperlink ref="N12" r:id="rId40" xr:uid="{00000000-0004-0000-0200-000027000000}"/>
    <hyperlink ref="N13" r:id="rId41" xr:uid="{00000000-0004-0000-0200-000028000000}"/>
    <hyperlink ref="L14" r:id="rId42" display="https://www.lfl.bayern.de/mam/cms07/publikationen/daten/informationen/leitfaden-duengung-acker-gruenland_gelbes-heft_lfl-information.pdf" xr:uid="{00000000-0004-0000-0200-000029000000}"/>
    <hyperlink ref="M14" r:id="rId43" display="https://www.lfl.bayern.de/mam/cms07/publikationen/daten/informationen/leitfaden-duengung-acker-gruenland_gelbes-heft_lfl-information.pdf" xr:uid="{00000000-0004-0000-0200-00002A000000}"/>
    <hyperlink ref="N16" r:id="rId44" display="https://www.lfl.bayern.de/mam/cms07/publikationen/daten/informationen/leitfaden-duengung-acker-gruenland_gelbes-heft_lfl-information.pdf" xr:uid="{00000000-0004-0000-0200-00002B000000}"/>
    <hyperlink ref="N14" r:id="rId45" display="https://www.lfl.bayern.de/mam/cms07/publikationen/daten/informationen/leitfaden-duengung-acker-gruenland_gelbes-heft_lfl-information.pdf" xr:uid="{00000000-0004-0000-0200-00002C000000}"/>
    <hyperlink ref="L16" r:id="rId46" display="https://www.lfl.bayern.de/mam/cms07/publikationen/daten/informationen/leitfaden-duengung-acker-gruenland_gelbes-heft_lfl-information.pdf" xr:uid="{00000000-0004-0000-0200-00002D000000}"/>
    <hyperlink ref="M16" r:id="rId47" display="https://www.lfl.bayern.de/mam/cms07/publikationen/daten/informationen/leitfaden-duengung-acker-gruenland_gelbes-heft_lfl-information.pdf" xr:uid="{00000000-0004-0000-0200-00002E000000}"/>
    <hyperlink ref="U9" r:id="rId48" display="https://llg.sachsen-anhalt.de/fileadmin/Bibliothek/Politik_und_Verwaltung/MLU/LLFG/Dokumentepdf_7.pdf" xr:uid="{00000000-0004-0000-0200-00002F000000}"/>
    <hyperlink ref="T9" r:id="rId49" display="https://llg.sachsen-anhalt.de/fileadmin/Bibliothek/Politik_und_Verwaltung/MLU/LLFG/Dokumentepdf_7.pdf" xr:uid="{00000000-0004-0000-0200-000030000000}"/>
    <hyperlink ref="F10" r:id="rId50" display="https://www.2000m2.eu/wp-content/uploads/Kulturblatt-Sojabohne-Bio-Austria.pdf" xr:uid="{00000000-0004-0000-0200-000031000000}"/>
    <hyperlink ref="H10" r:id="rId51" display="https://de.wikipedia.org/wiki/Sonnenblume" xr:uid="{00000000-0004-0000-0200-000032000000}"/>
    <hyperlink ref="J10" r:id="rId52" display="200" xr:uid="{00000000-0004-0000-0200-000033000000}"/>
    <hyperlink ref="K5" r:id="rId53" xr:uid="{00000000-0004-0000-0200-000034000000}"/>
    <hyperlink ref="K10" r:id="rId54" display="https://homeguides.sfgate.com/germinate-spinach-21786.html" xr:uid="{00000000-0004-0000-0200-000035000000}"/>
  </hyperlinks>
  <pageMargins left="0.7" right="0.7" top="0.78740157499999996" bottom="0.78740157499999996" header="0.3" footer="0.3"/>
  <pageSetup paperSize="9" orientation="portrait" r:id="rId55"/>
  <legacyDrawing r:id="rId5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dimension ref="B1:E13"/>
  <sheetViews>
    <sheetView showGridLines="0" workbookViewId="0">
      <selection activeCell="G11" sqref="G11"/>
    </sheetView>
  </sheetViews>
  <sheetFormatPr baseColWidth="10" defaultRowHeight="15" x14ac:dyDescent="0.25"/>
  <cols>
    <col min="2" max="2" width="21.28515625" style="26" bestFit="1" customWidth="1"/>
  </cols>
  <sheetData>
    <row r="1" spans="2:5" ht="15.75" thickBot="1" x14ac:dyDescent="0.3"/>
    <row r="2" spans="2:5" ht="15.75" thickTop="1" x14ac:dyDescent="0.25">
      <c r="B2" s="41" t="s">
        <v>109</v>
      </c>
      <c r="C2" s="40" t="s">
        <v>110</v>
      </c>
      <c r="D2" s="40" t="s">
        <v>111</v>
      </c>
      <c r="E2" s="40" t="s">
        <v>112</v>
      </c>
    </row>
    <row r="3" spans="2:5" x14ac:dyDescent="0.25">
      <c r="B3" s="36" t="s">
        <v>113</v>
      </c>
      <c r="C3">
        <v>196</v>
      </c>
      <c r="D3">
        <v>750</v>
      </c>
      <c r="E3">
        <v>500</v>
      </c>
    </row>
    <row r="4" spans="2:5" x14ac:dyDescent="0.25">
      <c r="B4" s="38" t="s">
        <v>6</v>
      </c>
      <c r="C4">
        <v>0.47</v>
      </c>
      <c r="D4" s="27">
        <v>0.42</v>
      </c>
      <c r="E4">
        <v>0.93</v>
      </c>
    </row>
    <row r="5" spans="2:5" x14ac:dyDescent="0.25">
      <c r="B5" s="38" t="s">
        <v>7</v>
      </c>
      <c r="C5" s="28">
        <f>0.03*0.7*2.29</f>
        <v>4.8089999999999994E-2</v>
      </c>
      <c r="D5" s="28">
        <v>0.28999999999999998</v>
      </c>
      <c r="E5" s="28">
        <v>0.14000000000000001</v>
      </c>
    </row>
    <row r="6" spans="2:5" x14ac:dyDescent="0.25">
      <c r="B6" s="38" t="s">
        <v>8</v>
      </c>
      <c r="C6" s="28">
        <f>0.13*0.7*1.205</f>
        <v>0.109655</v>
      </c>
      <c r="D6" s="28">
        <v>0.56000000000000005</v>
      </c>
      <c r="E6" s="28">
        <v>0.65</v>
      </c>
    </row>
    <row r="7" spans="2:5" x14ac:dyDescent="0.25">
      <c r="B7" s="38" t="s">
        <v>9</v>
      </c>
      <c r="C7" s="28">
        <f>0.015*0.7</f>
        <v>1.0499999999999999E-2</v>
      </c>
      <c r="D7" s="57">
        <v>0</v>
      </c>
      <c r="E7" s="28">
        <v>7.0000000000000007E-2</v>
      </c>
    </row>
    <row r="8" spans="2:5" x14ac:dyDescent="0.25">
      <c r="B8" s="38" t="s">
        <v>10</v>
      </c>
      <c r="C8" s="28">
        <f>0.7*0.7</f>
        <v>0.48999999999999994</v>
      </c>
      <c r="D8" s="57">
        <v>0</v>
      </c>
      <c r="E8" s="57">
        <v>0</v>
      </c>
    </row>
    <row r="9" spans="2:5" x14ac:dyDescent="0.25">
      <c r="B9" s="38" t="s">
        <v>11</v>
      </c>
      <c r="C9" s="28">
        <f>0.08*0.7</f>
        <v>5.5999999999999994E-2</v>
      </c>
      <c r="D9" s="28">
        <v>0.19</v>
      </c>
      <c r="E9" s="28">
        <v>0.09</v>
      </c>
    </row>
    <row r="10" spans="2:5" x14ac:dyDescent="0.25">
      <c r="B10" s="38" t="s">
        <v>177</v>
      </c>
      <c r="C10" s="57">
        <v>0</v>
      </c>
      <c r="D10" s="57">
        <v>0</v>
      </c>
      <c r="E10" s="57">
        <v>0</v>
      </c>
    </row>
    <row r="11" spans="2:5" x14ac:dyDescent="0.25">
      <c r="B11" s="38" t="s">
        <v>178</v>
      </c>
      <c r="C11" s="57">
        <v>0</v>
      </c>
      <c r="D11" s="57">
        <v>0</v>
      </c>
      <c r="E11" s="57">
        <v>0</v>
      </c>
    </row>
    <row r="12" spans="2:5" x14ac:dyDescent="0.25">
      <c r="B12" s="38" t="s">
        <v>179</v>
      </c>
      <c r="C12" s="57">
        <v>0</v>
      </c>
      <c r="D12" s="57">
        <v>0</v>
      </c>
      <c r="E12" s="57">
        <v>0</v>
      </c>
    </row>
    <row r="13" spans="2:5" x14ac:dyDescent="0.25">
      <c r="B13" s="38" t="s">
        <v>180</v>
      </c>
      <c r="C13" s="57">
        <v>0</v>
      </c>
      <c r="D13" s="57">
        <v>0</v>
      </c>
      <c r="E13" s="57">
        <v>0</v>
      </c>
    </row>
  </sheetData>
  <hyperlinks>
    <hyperlink ref="D4" r:id="rId1" display="https://www.lfl.bayern.de/mam/cms07/publikationen/daten/informationen/leitfaden-duengung-acker-gruenland_gelbes-heft_lfl-information.pdf" xr:uid="{00000000-0004-0000-0300-000000000000}"/>
    <hyperlink ref="D5" r:id="rId2" display="https://www.lfl.bayern.de/mam/cms07/publikationen/daten/informationen/leitfaden-duengung-acker-gruenland_gelbes-heft_lfl-information.pdf" xr:uid="{00000000-0004-0000-0300-000001000000}"/>
    <hyperlink ref="D6" r:id="rId3" display="https://www.lfl.bayern.de/mam/cms07/publikationen/daten/informationen/leitfaden-duengung-acker-gruenland_gelbes-heft_lfl-information.pdf" xr:uid="{00000000-0004-0000-0300-000002000000}"/>
    <hyperlink ref="D9" r:id="rId4" display="https://www.lfl.bayern.de/mam/cms07/publikationen/daten/informationen/leitfaden-duengung-acker-gruenland_gelbes-heft_lfl-information.pdf" xr:uid="{00000000-0004-0000-0300-000003000000}"/>
    <hyperlink ref="E5" r:id="rId5" display="https://www.lfl.bayern.de/mam/cms07/publikationen/daten/informationen/leitfaden-duengung-acker-gruenland_gelbes-heft_lfl-information.pdf" xr:uid="{00000000-0004-0000-0300-000004000000}"/>
    <hyperlink ref="E6" r:id="rId6" display="https://www.lfl.bayern.de/mam/cms07/publikationen/daten/informationen/leitfaden-duengung-acker-gruenland_gelbes-heft_lfl-information.pdf" xr:uid="{00000000-0004-0000-0300-000005000000}"/>
    <hyperlink ref="E7" r:id="rId7" display="https://www.lfl.bayern.de/mam/cms07/publikationen/daten/informationen/leitfaden-duengung-acker-gruenland_gelbes-heft_lfl-information.pdf" xr:uid="{00000000-0004-0000-0300-000006000000}"/>
    <hyperlink ref="E9" r:id="rId8" display="https://www.lfl.bayern.de/mam/cms07/publikationen/daten/informationen/leitfaden-duengung-acker-gruenland_gelbes-heft_lfl-information.pdf" xr:uid="{00000000-0004-0000-0300-000007000000}"/>
    <hyperlink ref="C5" r:id="rId9" display="http://www.fnr.de/fileadmin/allgemein/pdf/broschueren/leitfadenfestebiobrennstoffe_web.pdf" xr:uid="{00000000-0004-0000-0300-000008000000}"/>
    <hyperlink ref="C6" r:id="rId10" display="http://www.fnr.de/fileadmin/allgemein/pdf/broschueren/leitfadenfestebiobrennstoffe_web.pdf" xr:uid="{00000000-0004-0000-0300-000009000000}"/>
    <hyperlink ref="C7" r:id="rId11" display="http://www.fnr.de/fileadmin/allgemein/pdf/broschueren/leitfadenfestebiobrennstoffe_web.pdf" xr:uid="{00000000-0004-0000-0300-00000A000000}"/>
    <hyperlink ref="C9" r:id="rId12" display="http://www.fnr.de/fileadmin/allgemein/pdf/broschueren/leitfadenfestebiobrennstoffe_web.pdf" xr:uid="{00000000-0004-0000-0300-00000B000000}"/>
    <hyperlink ref="C8" r:id="rId13" display="http://www.fnr.de/fileadmin/allgemein/pdf/broschueren/leitfadenfestebiobrennstoffe_web.pdf" xr:uid="{00000000-0004-0000-0300-00000C000000}"/>
  </hyperlinks>
  <pageMargins left="0.7" right="0.7" top="0.78740157499999996" bottom="0.78740157499999996" header="0.3" footer="0.3"/>
  <legacyDrawing r:id="rId14"/>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4</vt:i4>
      </vt:variant>
    </vt:vector>
  </HeadingPairs>
  <TitlesOfParts>
    <vt:vector size="4" baseType="lpstr">
      <vt:lpstr>Gesamttabelle</vt:lpstr>
      <vt:lpstr>Betriebskonfiguration</vt:lpstr>
      <vt:lpstr>Ackerbau</vt:lpstr>
      <vt:lpstr>Kompostierung</vt:lpstr>
    </vt:vector>
  </TitlesOfParts>
  <Company>HSWT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N.N.</dc:creator>
  <cp:lastModifiedBy>Windows User</cp:lastModifiedBy>
  <dcterms:created xsi:type="dcterms:W3CDTF">2021-12-10T15:36:51Z</dcterms:created>
  <dcterms:modified xsi:type="dcterms:W3CDTF">2022-01-09T13:46:48Z</dcterms:modified>
</cp:coreProperties>
</file>